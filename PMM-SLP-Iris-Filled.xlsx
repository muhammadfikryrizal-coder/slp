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SLP-Training" sheetId="2" state="visible" r:id="rId2"/>
    <sheet xmlns:r="http://schemas.openxmlformats.org/officeDocument/2006/relationships" name="SLP-Validation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11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Arimo"/>
      <color rgb="FF000000"/>
      <sz val="10"/>
    </font>
    <font/>
    <font>
      <name val="Calibri"/>
      <b val="1"/>
      <color theme="1"/>
      <scheme val="minor"/>
    </font>
    <font>
      <name val="Calibri"/>
      <color theme="1"/>
      <scheme val="minor"/>
    </font>
    <font>
      <b val="1"/>
    </font>
    <font>
      <b val="1"/>
      <sz val="11"/>
    </font>
    <font>
      <i val="1"/>
      <sz val="9"/>
    </font>
    <font>
      <b val="1"/>
      <sz val="14"/>
    </font>
  </fonts>
  <fills count="8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00D9E1F2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4" fillId="0" borderId="4" pivotButton="0" quotePrefix="0" xfId="0"/>
    <xf numFmtId="0" fontId="2" fillId="2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6" pivotButton="0" quotePrefix="0" xfId="0"/>
    <xf numFmtId="0" fontId="2" fillId="2" borderId="7" applyAlignment="1" pivotButton="0" quotePrefix="0" xfId="0">
      <alignment horizontal="left" vertical="center"/>
    </xf>
    <xf numFmtId="0" fontId="1" fillId="3" borderId="8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10" pivotButton="0" quotePrefix="0" xfId="0"/>
    <xf numFmtId="0" fontId="1" fillId="3" borderId="11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5" fillId="3" borderId="0" pivotButton="0" quotePrefix="0" xfId="0"/>
    <xf numFmtId="0" fontId="1" fillId="3" borderId="18" applyAlignment="1" pivotButton="0" quotePrefix="0" xfId="0">
      <alignment horizontal="center"/>
    </xf>
    <xf numFmtId="0" fontId="1" fillId="3" borderId="19" applyAlignment="1" pivotButton="0" quotePrefix="0" xfId="0">
      <alignment horizontal="center"/>
    </xf>
    <xf numFmtId="0" fontId="1" fillId="3" borderId="19" applyAlignment="1" pivotButton="0" quotePrefix="0" xfId="0">
      <alignment horizontal="center"/>
    </xf>
    <xf numFmtId="0" fontId="4" fillId="0" borderId="20" pivotButton="0" quotePrefix="0" xfId="0"/>
    <xf numFmtId="0" fontId="4" fillId="0" borderId="21" pivotButton="0" quotePrefix="0" xfId="0"/>
    <xf numFmtId="0" fontId="6" fillId="0" borderId="1" pivotButton="0" quotePrefix="0" xfId="0"/>
    <xf numFmtId="0" fontId="1" fillId="4" borderId="22" applyAlignment="1" pivotButton="0" quotePrefix="0" xfId="0">
      <alignment horizontal="center" vertical="center"/>
    </xf>
    <xf numFmtId="0" fontId="2" fillId="4" borderId="23" pivotButton="0" quotePrefix="0" xfId="0"/>
    <xf numFmtId="0" fontId="2" fillId="4" borderId="24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25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1" pivotButton="0" quotePrefix="0" xfId="0"/>
    <xf numFmtId="0" fontId="2" fillId="4" borderId="11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6" fillId="0" borderId="1" pivotButton="0" quotePrefix="0" xfId="0"/>
    <xf numFmtId="0" fontId="4" fillId="0" borderId="27" pivotButton="0" quotePrefix="0" xfId="0"/>
    <xf numFmtId="0" fontId="2" fillId="4" borderId="28" pivotButton="0" quotePrefix="0" xfId="0"/>
    <xf numFmtId="0" fontId="2" fillId="4" borderId="29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4" fillId="0" borderId="31" pivotButton="0" quotePrefix="0" xfId="0"/>
    <xf numFmtId="0" fontId="1" fillId="5" borderId="32" applyAlignment="1" pivotButton="0" quotePrefix="0" xfId="0">
      <alignment horizontal="center" vertical="center"/>
    </xf>
    <xf numFmtId="0" fontId="2" fillId="6" borderId="23" pivotButton="0" quotePrefix="0" xfId="0"/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6" fillId="6" borderId="0" pivotButton="0" quotePrefix="0" xfId="0"/>
    <xf numFmtId="0" fontId="2" fillId="5" borderId="25" pivotButton="0" quotePrefix="0" xfId="0"/>
    <xf numFmtId="0" fontId="2" fillId="5" borderId="11" pivotButton="0" quotePrefix="0" xfId="0"/>
    <xf numFmtId="0" fontId="2" fillId="5" borderId="1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4" fillId="0" borderId="33" pivotButton="0" quotePrefix="0" xfId="0"/>
    <xf numFmtId="0" fontId="2" fillId="6" borderId="28" pivotButton="0" quotePrefix="0" xfId="0"/>
    <xf numFmtId="0" fontId="2" fillId="5" borderId="28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4" fillId="0" borderId="34" pivotButton="0" quotePrefix="0" xfId="0"/>
    <xf numFmtId="0" fontId="1" fillId="4" borderId="32" applyAlignment="1" pivotButton="0" quotePrefix="0" xfId="0">
      <alignment horizontal="center" vertical="center"/>
    </xf>
    <xf numFmtId="0" fontId="6" fillId="0" borderId="0" pivotButton="0" quotePrefix="0" xfId="0"/>
    <xf numFmtId="0" fontId="2" fillId="4" borderId="25" pivotButton="0" quotePrefix="0" xfId="0"/>
    <xf numFmtId="0" fontId="3" fillId="4" borderId="11" applyAlignment="1" pivotButton="0" quotePrefix="0" xfId="0">
      <alignment vertical="center"/>
    </xf>
    <xf numFmtId="0" fontId="2" fillId="4" borderId="35" applyAlignment="1" pivotButton="0" quotePrefix="0" xfId="0">
      <alignment horizontal="center" vertical="center"/>
    </xf>
    <xf numFmtId="0" fontId="3" fillId="5" borderId="11" applyAlignment="1" pivotButton="0" quotePrefix="0" xfId="0">
      <alignment vertical="center"/>
    </xf>
    <xf numFmtId="0" fontId="2" fillId="5" borderId="35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29" applyAlignment="1" pivotButton="0" quotePrefix="0" xfId="0">
      <alignment horizontal="center" vertical="center"/>
    </xf>
    <xf numFmtId="0" fontId="2" fillId="5" borderId="18" pivotButton="0" quotePrefix="0" xfId="0"/>
    <xf numFmtId="0" fontId="3" fillId="5" borderId="19" applyAlignment="1" pivotButton="0" quotePrefix="0" xfId="0">
      <alignment vertical="center"/>
    </xf>
    <xf numFmtId="0" fontId="2" fillId="5" borderId="19" pivotButton="0" quotePrefix="0" xfId="0"/>
    <xf numFmtId="0" fontId="2" fillId="5" borderId="36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18" pivotButton="0" quotePrefix="0" xfId="0"/>
    <xf numFmtId="0" fontId="3" fillId="4" borderId="19" applyAlignment="1" pivotButton="0" quotePrefix="0" xfId="0">
      <alignment vertical="center"/>
    </xf>
    <xf numFmtId="0" fontId="2" fillId="4" borderId="19" pivotButton="0" quotePrefix="0" xfId="0"/>
    <xf numFmtId="0" fontId="2" fillId="4" borderId="36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8" pivotButton="0" quotePrefix="0" xfId="0"/>
    <xf numFmtId="0" fontId="2" fillId="4" borderId="38" applyAlignment="1" pivotButton="0" quotePrefix="0" xfId="0">
      <alignment horizontal="center" vertical="center"/>
    </xf>
    <xf numFmtId="0" fontId="2" fillId="4" borderId="39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43" pivotButton="0" quotePrefix="0" xfId="0"/>
    <xf numFmtId="0" fontId="2" fillId="2" borderId="44" applyAlignment="1" pivotButton="0" quotePrefix="0" xfId="0">
      <alignment horizontal="center" vertical="center"/>
    </xf>
    <xf numFmtId="0" fontId="0" fillId="0" borderId="6" pivotButton="0" quotePrefix="0" xfId="0"/>
    <xf numFmtId="0" fontId="1" fillId="3" borderId="2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" fillId="3" borderId="17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7" borderId="0" applyAlignment="1" pivotButton="0" quotePrefix="0" xfId="0">
      <alignment horizontal="center"/>
    </xf>
    <xf numFmtId="0" fontId="7" fillId="4" borderId="5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0" borderId="51" pivotButton="0" quotePrefix="0" xfId="0"/>
    <xf numFmtId="0" fontId="9" fillId="0" borderId="0" pivotButton="0" quotePrefix="0" xfId="0"/>
    <xf numFmtId="0" fontId="7" fillId="5" borderId="40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7" fillId="0" borderId="0" applyAlignment="1" pivotButton="0" quotePrefix="0" xfId="0">
      <alignment horizontal="center" vertical="center"/>
    </xf>
    <xf numFmtId="0" fontId="7" fillId="4" borderId="40" applyAlignment="1" pivotButton="0" quotePrefix="0" xfId="0">
      <alignment horizontal="center" vertical="center"/>
    </xf>
    <xf numFmtId="0" fontId="1" fillId="5" borderId="40" applyAlignment="1" pivotButton="0" quotePrefix="0" xfId="0">
      <alignment horizontal="center" vertical="center"/>
    </xf>
    <xf numFmtId="0" fontId="1" fillId="4" borderId="4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Chart - Training vs Validation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'Charts'!$A$6:$A$10</f>
            </numRef>
          </cat>
          <val>
            <numRef>
              <f>'Charts'!$B$6:$B$10</f>
            </numRef>
          </val>
          <smooth val="0"/>
        </ser>
        <ser>
          <idx val="1"/>
          <order val="1"/>
          <tx>
            <strRef>
              <f>'Charts'!C5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'Charts'!$A$6:$A$10</f>
            </numRef>
          </cat>
          <val>
            <numRef>
              <f>'Charts'!$C$6:$C$10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/ Error Chart - Training vs Validation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'Charts'!$A$6:$A$10</f>
            </numRef>
          </cat>
          <val>
            <numRef>
              <f>'Charts'!$D$6:$D$10</f>
            </numRef>
          </val>
          <smooth val="0"/>
        </ser>
        <ser>
          <idx val="1"/>
          <order val="1"/>
          <tx>
            <strRef>
              <f>'Charts'!E5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'Charts'!$A$6:$A$10</f>
            </numRef>
          </cat>
          <val>
            <numRef>
              <f>'Charts'!$E$6:$E$10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(MSE)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96" min="1" max="4"/>
    <col width="14.86" customWidth="1" style="96" min="5" max="5"/>
    <col width="8.710000000000001" customWidth="1" style="96" min="6" max="26"/>
  </cols>
  <sheetData>
    <row r="1" ht="14.25" customHeight="1" s="96">
      <c r="A1" s="4" t="n">
        <v>5.1</v>
      </c>
      <c r="B1" s="7" t="n">
        <v>3.5</v>
      </c>
      <c r="C1" s="7" t="n">
        <v>1.4</v>
      </c>
      <c r="D1" s="7" t="n">
        <v>0.2</v>
      </c>
      <c r="E1" s="11" t="inlineStr">
        <is>
          <t>Iris-setosa</t>
        </is>
      </c>
    </row>
    <row r="2" ht="14.25" customHeight="1" s="96">
      <c r="A2" s="4" t="n">
        <v>4.9</v>
      </c>
      <c r="B2" s="7" t="n">
        <v>3</v>
      </c>
      <c r="C2" s="7" t="n">
        <v>1.4</v>
      </c>
      <c r="D2" s="7" t="n">
        <v>0.2</v>
      </c>
      <c r="E2" s="11" t="inlineStr">
        <is>
          <t>Iris-setosa</t>
        </is>
      </c>
    </row>
    <row r="3" ht="14.25" customHeight="1" s="96">
      <c r="A3" s="4" t="n">
        <v>4.7</v>
      </c>
      <c r="B3" s="7" t="n">
        <v>3.2</v>
      </c>
      <c r="C3" s="7" t="n">
        <v>1.3</v>
      </c>
      <c r="D3" s="7" t="n">
        <v>0.2</v>
      </c>
      <c r="E3" s="11" t="inlineStr">
        <is>
          <t>Iris-setosa</t>
        </is>
      </c>
    </row>
    <row r="4" ht="14.25" customHeight="1" s="96">
      <c r="A4" s="4" t="n">
        <v>4.6</v>
      </c>
      <c r="B4" s="7" t="n">
        <v>3.1</v>
      </c>
      <c r="C4" s="7" t="n">
        <v>1.5</v>
      </c>
      <c r="D4" s="7" t="n">
        <v>0.2</v>
      </c>
      <c r="E4" s="11" t="inlineStr">
        <is>
          <t>Iris-setosa</t>
        </is>
      </c>
    </row>
    <row r="5" ht="14.25" customHeight="1" s="96">
      <c r="A5" s="4" t="n">
        <v>5</v>
      </c>
      <c r="B5" s="7" t="n">
        <v>3.6</v>
      </c>
      <c r="C5" s="7" t="n">
        <v>1.4</v>
      </c>
      <c r="D5" s="7" t="n">
        <v>0.2</v>
      </c>
      <c r="E5" s="11" t="inlineStr">
        <is>
          <t>Iris-setosa</t>
        </is>
      </c>
    </row>
    <row r="6" ht="14.25" customHeight="1" s="96">
      <c r="A6" s="4" t="n">
        <v>5.4</v>
      </c>
      <c r="B6" s="7" t="n">
        <v>3.9</v>
      </c>
      <c r="C6" s="7" t="n">
        <v>1.7</v>
      </c>
      <c r="D6" s="7" t="n">
        <v>0.4</v>
      </c>
      <c r="E6" s="11" t="inlineStr">
        <is>
          <t>Iris-setosa</t>
        </is>
      </c>
    </row>
    <row r="7" ht="14.25" customHeight="1" s="96">
      <c r="A7" s="4" t="n">
        <v>4.6</v>
      </c>
      <c r="B7" s="7" t="n">
        <v>3.4</v>
      </c>
      <c r="C7" s="7" t="n">
        <v>1.4</v>
      </c>
      <c r="D7" s="7" t="n">
        <v>0.3</v>
      </c>
      <c r="E7" s="11" t="inlineStr">
        <is>
          <t>Iris-setosa</t>
        </is>
      </c>
    </row>
    <row r="8" ht="14.25" customHeight="1" s="96">
      <c r="A8" s="4" t="n">
        <v>5</v>
      </c>
      <c r="B8" s="7" t="n">
        <v>3.4</v>
      </c>
      <c r="C8" s="7" t="n">
        <v>1.5</v>
      </c>
      <c r="D8" s="7" t="n">
        <v>0.2</v>
      </c>
      <c r="E8" s="11" t="inlineStr">
        <is>
          <t>Iris-setosa</t>
        </is>
      </c>
    </row>
    <row r="9" ht="14.25" customHeight="1" s="96">
      <c r="A9" s="4" t="n">
        <v>4.4</v>
      </c>
      <c r="B9" s="7" t="n">
        <v>2.9</v>
      </c>
      <c r="C9" s="7" t="n">
        <v>1.4</v>
      </c>
      <c r="D9" s="7" t="n">
        <v>0.2</v>
      </c>
      <c r="E9" s="11" t="inlineStr">
        <is>
          <t>Iris-setosa</t>
        </is>
      </c>
    </row>
    <row r="10" ht="14.25" customHeight="1" s="96">
      <c r="A10" s="4" t="n">
        <v>4.9</v>
      </c>
      <c r="B10" s="7" t="n">
        <v>3.1</v>
      </c>
      <c r="C10" s="7" t="n">
        <v>1.5</v>
      </c>
      <c r="D10" s="7" t="n">
        <v>0.1</v>
      </c>
      <c r="E10" s="11" t="inlineStr">
        <is>
          <t>Iris-setosa</t>
        </is>
      </c>
    </row>
    <row r="11" ht="14.25" customHeight="1" s="96">
      <c r="A11" s="4" t="n">
        <v>5.4</v>
      </c>
      <c r="B11" s="7" t="n">
        <v>3.7</v>
      </c>
      <c r="C11" s="7" t="n">
        <v>1.5</v>
      </c>
      <c r="D11" s="7" t="n">
        <v>0.2</v>
      </c>
      <c r="E11" s="11" t="inlineStr">
        <is>
          <t>Iris-setosa</t>
        </is>
      </c>
    </row>
    <row r="12" ht="14.25" customHeight="1" s="96">
      <c r="A12" s="4" t="n">
        <v>4.8</v>
      </c>
      <c r="B12" s="7" t="n">
        <v>3.4</v>
      </c>
      <c r="C12" s="7" t="n">
        <v>1.6</v>
      </c>
      <c r="D12" s="7" t="n">
        <v>0.2</v>
      </c>
      <c r="E12" s="11" t="inlineStr">
        <is>
          <t>Iris-setosa</t>
        </is>
      </c>
    </row>
    <row r="13" ht="14.25" customHeight="1" s="96">
      <c r="A13" s="4" t="n">
        <v>4.8</v>
      </c>
      <c r="B13" s="7" t="n">
        <v>3</v>
      </c>
      <c r="C13" s="7" t="n">
        <v>1.4</v>
      </c>
      <c r="D13" s="7" t="n">
        <v>0.1</v>
      </c>
      <c r="E13" s="11" t="inlineStr">
        <is>
          <t>Iris-setosa</t>
        </is>
      </c>
    </row>
    <row r="14" ht="14.25" customHeight="1" s="96">
      <c r="A14" s="4" t="n">
        <v>4.3</v>
      </c>
      <c r="B14" s="7" t="n">
        <v>3</v>
      </c>
      <c r="C14" s="7" t="n">
        <v>1.1</v>
      </c>
      <c r="D14" s="7" t="n">
        <v>0.1</v>
      </c>
      <c r="E14" s="11" t="inlineStr">
        <is>
          <t>Iris-setosa</t>
        </is>
      </c>
    </row>
    <row r="15" ht="14.25" customHeight="1" s="96">
      <c r="A15" s="4" t="n">
        <v>5.8</v>
      </c>
      <c r="B15" s="7" t="n">
        <v>4</v>
      </c>
      <c r="C15" s="7" t="n">
        <v>1.2</v>
      </c>
      <c r="D15" s="7" t="n">
        <v>0.2</v>
      </c>
      <c r="E15" s="11" t="inlineStr">
        <is>
          <t>Iris-setosa</t>
        </is>
      </c>
    </row>
    <row r="16" ht="14.25" customHeight="1" s="96">
      <c r="A16" s="4" t="n">
        <v>5.7</v>
      </c>
      <c r="B16" s="7" t="n">
        <v>4.4</v>
      </c>
      <c r="C16" s="7" t="n">
        <v>1.5</v>
      </c>
      <c r="D16" s="7" t="n">
        <v>0.4</v>
      </c>
      <c r="E16" s="11" t="inlineStr">
        <is>
          <t>Iris-setosa</t>
        </is>
      </c>
    </row>
    <row r="17" ht="14.25" customHeight="1" s="96">
      <c r="A17" s="4" t="n">
        <v>5.4</v>
      </c>
      <c r="B17" s="7" t="n">
        <v>3.9</v>
      </c>
      <c r="C17" s="7" t="n">
        <v>1.3</v>
      </c>
      <c r="D17" s="7" t="n">
        <v>0.4</v>
      </c>
      <c r="E17" s="11" t="inlineStr">
        <is>
          <t>Iris-setosa</t>
        </is>
      </c>
    </row>
    <row r="18" ht="14.25" customHeight="1" s="96">
      <c r="A18" s="4" t="n">
        <v>5.1</v>
      </c>
      <c r="B18" s="7" t="n">
        <v>3.5</v>
      </c>
      <c r="C18" s="7" t="n">
        <v>1.4</v>
      </c>
      <c r="D18" s="7" t="n">
        <v>0.3</v>
      </c>
      <c r="E18" s="11" t="inlineStr">
        <is>
          <t>Iris-setosa</t>
        </is>
      </c>
    </row>
    <row r="19" ht="14.25" customHeight="1" s="96">
      <c r="A19" s="4" t="n">
        <v>5.7</v>
      </c>
      <c r="B19" s="7" t="n">
        <v>3.8</v>
      </c>
      <c r="C19" s="7" t="n">
        <v>1.7</v>
      </c>
      <c r="D19" s="7" t="n">
        <v>0.3</v>
      </c>
      <c r="E19" s="11" t="inlineStr">
        <is>
          <t>Iris-setosa</t>
        </is>
      </c>
    </row>
    <row r="20" ht="14.25" customHeight="1" s="96">
      <c r="A20" s="4" t="n">
        <v>5.1</v>
      </c>
      <c r="B20" s="7" t="n">
        <v>3.8</v>
      </c>
      <c r="C20" s="7" t="n">
        <v>1.5</v>
      </c>
      <c r="D20" s="7" t="n">
        <v>0.3</v>
      </c>
      <c r="E20" s="11" t="inlineStr">
        <is>
          <t>Iris-setosa</t>
        </is>
      </c>
    </row>
    <row r="21" ht="14.25" customHeight="1" s="96">
      <c r="A21" s="4" t="n">
        <v>5.4</v>
      </c>
      <c r="B21" s="7" t="n">
        <v>3.4</v>
      </c>
      <c r="C21" s="7" t="n">
        <v>1.7</v>
      </c>
      <c r="D21" s="7" t="n">
        <v>0.2</v>
      </c>
      <c r="E21" s="11" t="inlineStr">
        <is>
          <t>Iris-setosa</t>
        </is>
      </c>
    </row>
    <row r="22" ht="14.25" customHeight="1" s="96">
      <c r="A22" s="4" t="n">
        <v>5.1</v>
      </c>
      <c r="B22" s="7" t="n">
        <v>3.7</v>
      </c>
      <c r="C22" s="7" t="n">
        <v>1.5</v>
      </c>
      <c r="D22" s="7" t="n">
        <v>0.4</v>
      </c>
      <c r="E22" s="11" t="inlineStr">
        <is>
          <t>Iris-setosa</t>
        </is>
      </c>
    </row>
    <row r="23" ht="14.25" customHeight="1" s="96">
      <c r="A23" s="4" t="n">
        <v>4.6</v>
      </c>
      <c r="B23" s="7" t="n">
        <v>3.6</v>
      </c>
      <c r="C23" s="7" t="n">
        <v>1</v>
      </c>
      <c r="D23" s="7" t="n">
        <v>0.2</v>
      </c>
      <c r="E23" s="11" t="inlineStr">
        <is>
          <t>Iris-setosa</t>
        </is>
      </c>
    </row>
    <row r="24" ht="14.25" customHeight="1" s="96">
      <c r="A24" s="4" t="n">
        <v>5.1</v>
      </c>
      <c r="B24" s="7" t="n">
        <v>3.3</v>
      </c>
      <c r="C24" s="7" t="n">
        <v>1.7</v>
      </c>
      <c r="D24" s="7" t="n">
        <v>0.5</v>
      </c>
      <c r="E24" s="11" t="inlineStr">
        <is>
          <t>Iris-setosa</t>
        </is>
      </c>
    </row>
    <row r="25" ht="14.25" customHeight="1" s="96">
      <c r="A25" s="4" t="n">
        <v>4.8</v>
      </c>
      <c r="B25" s="7" t="n">
        <v>3.4</v>
      </c>
      <c r="C25" s="7" t="n">
        <v>1.9</v>
      </c>
      <c r="D25" s="7" t="n">
        <v>0.2</v>
      </c>
      <c r="E25" s="11" t="inlineStr">
        <is>
          <t>Iris-setosa</t>
        </is>
      </c>
    </row>
    <row r="26" ht="14.25" customHeight="1" s="96">
      <c r="A26" s="4" t="n">
        <v>5</v>
      </c>
      <c r="B26" s="7" t="n">
        <v>3</v>
      </c>
      <c r="C26" s="7" t="n">
        <v>1.6</v>
      </c>
      <c r="D26" s="7" t="n">
        <v>0.2</v>
      </c>
      <c r="E26" s="11" t="inlineStr">
        <is>
          <t>Iris-setosa</t>
        </is>
      </c>
    </row>
    <row r="27" ht="14.25" customHeight="1" s="96">
      <c r="A27" s="4" t="n">
        <v>5</v>
      </c>
      <c r="B27" s="7" t="n">
        <v>3.4</v>
      </c>
      <c r="C27" s="7" t="n">
        <v>1.6</v>
      </c>
      <c r="D27" s="7" t="n">
        <v>0.4</v>
      </c>
      <c r="E27" s="11" t="inlineStr">
        <is>
          <t>Iris-setosa</t>
        </is>
      </c>
    </row>
    <row r="28" ht="14.25" customHeight="1" s="96">
      <c r="A28" s="4" t="n">
        <v>5.2</v>
      </c>
      <c r="B28" s="7" t="n">
        <v>3.5</v>
      </c>
      <c r="C28" s="7" t="n">
        <v>1.5</v>
      </c>
      <c r="D28" s="7" t="n">
        <v>0.2</v>
      </c>
      <c r="E28" s="11" t="inlineStr">
        <is>
          <t>Iris-setosa</t>
        </is>
      </c>
    </row>
    <row r="29" ht="14.25" customHeight="1" s="96">
      <c r="A29" s="4" t="n">
        <v>5.2</v>
      </c>
      <c r="B29" s="7" t="n">
        <v>3.4</v>
      </c>
      <c r="C29" s="7" t="n">
        <v>1.4</v>
      </c>
      <c r="D29" s="7" t="n">
        <v>0.2</v>
      </c>
      <c r="E29" s="11" t="inlineStr">
        <is>
          <t>Iris-setosa</t>
        </is>
      </c>
    </row>
    <row r="30" ht="14.25" customHeight="1" s="96">
      <c r="A30" s="4" t="n">
        <v>4.7</v>
      </c>
      <c r="B30" s="7" t="n">
        <v>3.2</v>
      </c>
      <c r="C30" s="7" t="n">
        <v>1.6</v>
      </c>
      <c r="D30" s="7" t="n">
        <v>0.2</v>
      </c>
      <c r="E30" s="11" t="inlineStr">
        <is>
          <t>Iris-setosa</t>
        </is>
      </c>
    </row>
    <row r="31" ht="14.25" customHeight="1" s="96">
      <c r="A31" s="4" t="n">
        <v>4.8</v>
      </c>
      <c r="B31" s="7" t="n">
        <v>3.1</v>
      </c>
      <c r="C31" s="7" t="n">
        <v>1.6</v>
      </c>
      <c r="D31" s="7" t="n">
        <v>0.2</v>
      </c>
      <c r="E31" s="11" t="inlineStr">
        <is>
          <t>Iris-setosa</t>
        </is>
      </c>
    </row>
    <row r="32" ht="14.25" customHeight="1" s="96">
      <c r="A32" s="4" t="n">
        <v>5.4</v>
      </c>
      <c r="B32" s="7" t="n">
        <v>3.4</v>
      </c>
      <c r="C32" s="7" t="n">
        <v>1.5</v>
      </c>
      <c r="D32" s="7" t="n">
        <v>0.4</v>
      </c>
      <c r="E32" s="11" t="inlineStr">
        <is>
          <t>Iris-setosa</t>
        </is>
      </c>
    </row>
    <row r="33" ht="14.25" customHeight="1" s="96">
      <c r="A33" s="4" t="n">
        <v>5.2</v>
      </c>
      <c r="B33" s="7" t="n">
        <v>4.1</v>
      </c>
      <c r="C33" s="7" t="n">
        <v>1.5</v>
      </c>
      <c r="D33" s="7" t="n">
        <v>0.1</v>
      </c>
      <c r="E33" s="11" t="inlineStr">
        <is>
          <t>Iris-setosa</t>
        </is>
      </c>
    </row>
    <row r="34" ht="14.25" customHeight="1" s="96">
      <c r="A34" s="4" t="n">
        <v>5.5</v>
      </c>
      <c r="B34" s="7" t="n">
        <v>4.2</v>
      </c>
      <c r="C34" s="7" t="n">
        <v>1.4</v>
      </c>
      <c r="D34" s="7" t="n">
        <v>0.2</v>
      </c>
      <c r="E34" s="11" t="inlineStr">
        <is>
          <t>Iris-setosa</t>
        </is>
      </c>
    </row>
    <row r="35" ht="14.25" customHeight="1" s="96">
      <c r="A35" s="4" t="n">
        <v>4.9</v>
      </c>
      <c r="B35" s="7" t="n">
        <v>3.1</v>
      </c>
      <c r="C35" s="7" t="n">
        <v>1.5</v>
      </c>
      <c r="D35" s="7" t="n">
        <v>0.1</v>
      </c>
      <c r="E35" s="11" t="inlineStr">
        <is>
          <t>Iris-setosa</t>
        </is>
      </c>
    </row>
    <row r="36" ht="14.25" customHeight="1" s="96">
      <c r="A36" s="4" t="n">
        <v>5</v>
      </c>
      <c r="B36" s="7" t="n">
        <v>3.2</v>
      </c>
      <c r="C36" s="7" t="n">
        <v>1.2</v>
      </c>
      <c r="D36" s="7" t="n">
        <v>0.2</v>
      </c>
      <c r="E36" s="11" t="inlineStr">
        <is>
          <t>Iris-setosa</t>
        </is>
      </c>
    </row>
    <row r="37" ht="14.25" customHeight="1" s="96">
      <c r="A37" s="4" t="n">
        <v>5.5</v>
      </c>
      <c r="B37" s="7" t="n">
        <v>3.5</v>
      </c>
      <c r="C37" s="7" t="n">
        <v>1.3</v>
      </c>
      <c r="D37" s="7" t="n">
        <v>0.2</v>
      </c>
      <c r="E37" s="11" t="inlineStr">
        <is>
          <t>Iris-setosa</t>
        </is>
      </c>
    </row>
    <row r="38" ht="14.25" customHeight="1" s="96">
      <c r="A38" s="4" t="n">
        <v>4.9</v>
      </c>
      <c r="B38" s="7" t="n">
        <v>3.1</v>
      </c>
      <c r="C38" s="7" t="n">
        <v>1.5</v>
      </c>
      <c r="D38" s="7" t="n">
        <v>0.1</v>
      </c>
      <c r="E38" s="11" t="inlineStr">
        <is>
          <t>Iris-setosa</t>
        </is>
      </c>
    </row>
    <row r="39" ht="14.25" customHeight="1" s="96">
      <c r="A39" s="4" t="n">
        <v>4.4</v>
      </c>
      <c r="B39" s="7" t="n">
        <v>3</v>
      </c>
      <c r="C39" s="7" t="n">
        <v>1.3</v>
      </c>
      <c r="D39" s="7" t="n">
        <v>0.2</v>
      </c>
      <c r="E39" s="11" t="inlineStr">
        <is>
          <t>Iris-setosa</t>
        </is>
      </c>
    </row>
    <row r="40" ht="14.25" customHeight="1" s="96">
      <c r="A40" s="4" t="n">
        <v>5.1</v>
      </c>
      <c r="B40" s="7" t="n">
        <v>3.4</v>
      </c>
      <c r="C40" s="7" t="n">
        <v>1.5</v>
      </c>
      <c r="D40" s="7" t="n">
        <v>0.2</v>
      </c>
      <c r="E40" s="11" t="inlineStr">
        <is>
          <t>Iris-setosa</t>
        </is>
      </c>
    </row>
    <row r="41" ht="14.25" customHeight="1" s="96">
      <c r="A41" s="4" t="n">
        <v>5</v>
      </c>
      <c r="B41" s="7" t="n">
        <v>3.5</v>
      </c>
      <c r="C41" s="7" t="n">
        <v>1.3</v>
      </c>
      <c r="D41" s="7" t="n">
        <v>0.3</v>
      </c>
      <c r="E41" s="11" t="inlineStr">
        <is>
          <t>Iris-setosa</t>
        </is>
      </c>
    </row>
    <row r="42" ht="14.25" customHeight="1" s="96">
      <c r="A42" s="4" t="n">
        <v>4.5</v>
      </c>
      <c r="B42" s="7" t="n">
        <v>2.3</v>
      </c>
      <c r="C42" s="7" t="n">
        <v>1.3</v>
      </c>
      <c r="D42" s="7" t="n">
        <v>0.3</v>
      </c>
      <c r="E42" s="11" t="inlineStr">
        <is>
          <t>Iris-setosa</t>
        </is>
      </c>
    </row>
    <row r="43" ht="14.25" customHeight="1" s="96">
      <c r="A43" s="4" t="n">
        <v>4.4</v>
      </c>
      <c r="B43" s="7" t="n">
        <v>3.2</v>
      </c>
      <c r="C43" s="7" t="n">
        <v>1.3</v>
      </c>
      <c r="D43" s="7" t="n">
        <v>0.2</v>
      </c>
      <c r="E43" s="11" t="inlineStr">
        <is>
          <t>Iris-setosa</t>
        </is>
      </c>
    </row>
    <row r="44" ht="14.25" customHeight="1" s="96">
      <c r="A44" s="4" t="n">
        <v>5</v>
      </c>
      <c r="B44" s="7" t="n">
        <v>3.5</v>
      </c>
      <c r="C44" s="7" t="n">
        <v>1.6</v>
      </c>
      <c r="D44" s="7" t="n">
        <v>0.6</v>
      </c>
      <c r="E44" s="11" t="inlineStr">
        <is>
          <t>Iris-setosa</t>
        </is>
      </c>
    </row>
    <row r="45" ht="14.25" customHeight="1" s="96">
      <c r="A45" s="4" t="n">
        <v>5.1</v>
      </c>
      <c r="B45" s="7" t="n">
        <v>3.8</v>
      </c>
      <c r="C45" s="7" t="n">
        <v>1.9</v>
      </c>
      <c r="D45" s="7" t="n">
        <v>0.4</v>
      </c>
      <c r="E45" s="11" t="inlineStr">
        <is>
          <t>Iris-setosa</t>
        </is>
      </c>
    </row>
    <row r="46" ht="14.25" customHeight="1" s="96">
      <c r="A46" s="4" t="n">
        <v>4.8</v>
      </c>
      <c r="B46" s="7" t="n">
        <v>3</v>
      </c>
      <c r="C46" s="7" t="n">
        <v>1.4</v>
      </c>
      <c r="D46" s="7" t="n">
        <v>0.3</v>
      </c>
      <c r="E46" s="11" t="inlineStr">
        <is>
          <t>Iris-setosa</t>
        </is>
      </c>
    </row>
    <row r="47" ht="14.25" customHeight="1" s="96">
      <c r="A47" s="4" t="n">
        <v>5.1</v>
      </c>
      <c r="B47" s="7" t="n">
        <v>3.8</v>
      </c>
      <c r="C47" s="7" t="n">
        <v>1.6</v>
      </c>
      <c r="D47" s="7" t="n">
        <v>0.2</v>
      </c>
      <c r="E47" s="11" t="inlineStr">
        <is>
          <t>Iris-setosa</t>
        </is>
      </c>
    </row>
    <row r="48" ht="14.25" customHeight="1" s="96">
      <c r="A48" s="4" t="n">
        <v>4.6</v>
      </c>
      <c r="B48" s="7" t="n">
        <v>3.2</v>
      </c>
      <c r="C48" s="7" t="n">
        <v>1.4</v>
      </c>
      <c r="D48" s="7" t="n">
        <v>0.2</v>
      </c>
      <c r="E48" s="11" t="inlineStr">
        <is>
          <t>Iris-setosa</t>
        </is>
      </c>
    </row>
    <row r="49" ht="14.25" customHeight="1" s="96">
      <c r="A49" s="4" t="n">
        <v>5.3</v>
      </c>
      <c r="B49" s="7" t="n">
        <v>3.7</v>
      </c>
      <c r="C49" s="7" t="n">
        <v>1.5</v>
      </c>
      <c r="D49" s="7" t="n">
        <v>0.2</v>
      </c>
      <c r="E49" s="11" t="inlineStr">
        <is>
          <t>Iris-setosa</t>
        </is>
      </c>
    </row>
    <row r="50" ht="14.25" customHeight="1" s="96">
      <c r="A50" s="4" t="n">
        <v>5</v>
      </c>
      <c r="B50" s="7" t="n">
        <v>3.3</v>
      </c>
      <c r="C50" s="7" t="n">
        <v>1.4</v>
      </c>
      <c r="D50" s="7" t="n">
        <v>0.2</v>
      </c>
      <c r="E50" s="11" t="inlineStr">
        <is>
          <t>Iris-setosa</t>
        </is>
      </c>
    </row>
    <row r="51" ht="14.25" customHeight="1" s="96">
      <c r="A51" s="4" t="n">
        <v>7</v>
      </c>
      <c r="B51" s="7" t="n">
        <v>3.2</v>
      </c>
      <c r="C51" s="7" t="n">
        <v>4.7</v>
      </c>
      <c r="D51" s="7" t="n">
        <v>1.4</v>
      </c>
      <c r="E51" s="11" t="inlineStr">
        <is>
          <t>Iris-versicolor</t>
        </is>
      </c>
    </row>
    <row r="52" ht="14.25" customHeight="1" s="96">
      <c r="A52" s="4" t="n">
        <v>6.4</v>
      </c>
      <c r="B52" s="7" t="n">
        <v>3.2</v>
      </c>
      <c r="C52" s="7" t="n">
        <v>4.5</v>
      </c>
      <c r="D52" s="7" t="n">
        <v>1.5</v>
      </c>
      <c r="E52" s="11" t="inlineStr">
        <is>
          <t>Iris-versicolor</t>
        </is>
      </c>
    </row>
    <row r="53" ht="14.25" customHeight="1" s="96">
      <c r="A53" s="4" t="n">
        <v>6.9</v>
      </c>
      <c r="B53" s="7" t="n">
        <v>3.1</v>
      </c>
      <c r="C53" s="7" t="n">
        <v>4.9</v>
      </c>
      <c r="D53" s="7" t="n">
        <v>1.5</v>
      </c>
      <c r="E53" s="11" t="inlineStr">
        <is>
          <t>Iris-versicolor</t>
        </is>
      </c>
    </row>
    <row r="54" ht="14.25" customHeight="1" s="96">
      <c r="A54" s="4" t="n">
        <v>5.5</v>
      </c>
      <c r="B54" s="7" t="n">
        <v>2.3</v>
      </c>
      <c r="C54" s="7" t="n">
        <v>4</v>
      </c>
      <c r="D54" s="7" t="n">
        <v>1.3</v>
      </c>
      <c r="E54" s="11" t="inlineStr">
        <is>
          <t>Iris-versicolor</t>
        </is>
      </c>
    </row>
    <row r="55" ht="14.25" customHeight="1" s="96">
      <c r="A55" s="4" t="n">
        <v>6.5</v>
      </c>
      <c r="B55" s="7" t="n">
        <v>2.8</v>
      </c>
      <c r="C55" s="7" t="n">
        <v>4.6</v>
      </c>
      <c r="D55" s="7" t="n">
        <v>1.5</v>
      </c>
      <c r="E55" s="11" t="inlineStr">
        <is>
          <t>Iris-versicolor</t>
        </is>
      </c>
    </row>
    <row r="56" ht="14.25" customHeight="1" s="96">
      <c r="A56" s="4" t="n">
        <v>5.7</v>
      </c>
      <c r="B56" s="7" t="n">
        <v>2.8</v>
      </c>
      <c r="C56" s="7" t="n">
        <v>4.5</v>
      </c>
      <c r="D56" s="7" t="n">
        <v>1.3</v>
      </c>
      <c r="E56" s="11" t="inlineStr">
        <is>
          <t>Iris-versicolor</t>
        </is>
      </c>
    </row>
    <row r="57" ht="14.25" customHeight="1" s="96">
      <c r="A57" s="4" t="n">
        <v>6.3</v>
      </c>
      <c r="B57" s="7" t="n">
        <v>3.3</v>
      </c>
      <c r="C57" s="7" t="n">
        <v>4.7</v>
      </c>
      <c r="D57" s="7" t="n">
        <v>1.6</v>
      </c>
      <c r="E57" s="11" t="inlineStr">
        <is>
          <t>Iris-versicolor</t>
        </is>
      </c>
    </row>
    <row r="58" ht="14.25" customHeight="1" s="96">
      <c r="A58" s="4" t="n">
        <v>4.9</v>
      </c>
      <c r="B58" s="7" t="n">
        <v>2.4</v>
      </c>
      <c r="C58" s="7" t="n">
        <v>3.3</v>
      </c>
      <c r="D58" s="7" t="n">
        <v>1</v>
      </c>
      <c r="E58" s="11" t="inlineStr">
        <is>
          <t>Iris-versicolor</t>
        </is>
      </c>
    </row>
    <row r="59" ht="14.25" customHeight="1" s="96">
      <c r="A59" s="4" t="n">
        <v>6.6</v>
      </c>
      <c r="B59" s="7" t="n">
        <v>2.9</v>
      </c>
      <c r="C59" s="7" t="n">
        <v>4.6</v>
      </c>
      <c r="D59" s="7" t="n">
        <v>1.3</v>
      </c>
      <c r="E59" s="11" t="inlineStr">
        <is>
          <t>Iris-versicolor</t>
        </is>
      </c>
    </row>
    <row r="60" ht="14.25" customHeight="1" s="96">
      <c r="A60" s="4" t="n">
        <v>5.2</v>
      </c>
      <c r="B60" s="7" t="n">
        <v>2.7</v>
      </c>
      <c r="C60" s="7" t="n">
        <v>3.9</v>
      </c>
      <c r="D60" s="7" t="n">
        <v>1.4</v>
      </c>
      <c r="E60" s="11" t="inlineStr">
        <is>
          <t>Iris-versicolor</t>
        </is>
      </c>
    </row>
    <row r="61" ht="14.25" customHeight="1" s="96">
      <c r="A61" s="4" t="n">
        <v>5</v>
      </c>
      <c r="B61" s="7" t="n">
        <v>2</v>
      </c>
      <c r="C61" s="7" t="n">
        <v>3.5</v>
      </c>
      <c r="D61" s="7" t="n">
        <v>1</v>
      </c>
      <c r="E61" s="11" t="inlineStr">
        <is>
          <t>Iris-versicolor</t>
        </is>
      </c>
    </row>
    <row r="62" ht="14.25" customHeight="1" s="96">
      <c r="A62" s="4" t="n">
        <v>5.9</v>
      </c>
      <c r="B62" s="7" t="n">
        <v>3</v>
      </c>
      <c r="C62" s="7" t="n">
        <v>4.2</v>
      </c>
      <c r="D62" s="7" t="n">
        <v>1.5</v>
      </c>
      <c r="E62" s="11" t="inlineStr">
        <is>
          <t>Iris-versicolor</t>
        </is>
      </c>
    </row>
    <row r="63" ht="14.25" customHeight="1" s="96">
      <c r="A63" s="4" t="n">
        <v>6</v>
      </c>
      <c r="B63" s="7" t="n">
        <v>2.2</v>
      </c>
      <c r="C63" s="7" t="n">
        <v>4</v>
      </c>
      <c r="D63" s="7" t="n">
        <v>1</v>
      </c>
      <c r="E63" s="11" t="inlineStr">
        <is>
          <t>Iris-versicolor</t>
        </is>
      </c>
    </row>
    <row r="64" ht="14.25" customHeight="1" s="96">
      <c r="A64" s="4" t="n">
        <v>6.1</v>
      </c>
      <c r="B64" s="7" t="n">
        <v>2.9</v>
      </c>
      <c r="C64" s="7" t="n">
        <v>4.7</v>
      </c>
      <c r="D64" s="7" t="n">
        <v>1.4</v>
      </c>
      <c r="E64" s="11" t="inlineStr">
        <is>
          <t>Iris-versicolor</t>
        </is>
      </c>
    </row>
    <row r="65" ht="14.25" customHeight="1" s="96">
      <c r="A65" s="4" t="n">
        <v>5.6</v>
      </c>
      <c r="B65" s="7" t="n">
        <v>2.9</v>
      </c>
      <c r="C65" s="7" t="n">
        <v>3.6</v>
      </c>
      <c r="D65" s="7" t="n">
        <v>1.3</v>
      </c>
      <c r="E65" s="11" t="inlineStr">
        <is>
          <t>Iris-versicolor</t>
        </is>
      </c>
    </row>
    <row r="66" ht="14.25" customHeight="1" s="96">
      <c r="A66" s="4" t="n">
        <v>6.7</v>
      </c>
      <c r="B66" s="7" t="n">
        <v>3.1</v>
      </c>
      <c r="C66" s="7" t="n">
        <v>4.4</v>
      </c>
      <c r="D66" s="7" t="n">
        <v>1.4</v>
      </c>
      <c r="E66" s="11" t="inlineStr">
        <is>
          <t>Iris-versicolor</t>
        </is>
      </c>
    </row>
    <row r="67" ht="14.25" customHeight="1" s="96">
      <c r="A67" s="4" t="n">
        <v>5.6</v>
      </c>
      <c r="B67" s="7" t="n">
        <v>3</v>
      </c>
      <c r="C67" s="7" t="n">
        <v>4.5</v>
      </c>
      <c r="D67" s="7" t="n">
        <v>1.5</v>
      </c>
      <c r="E67" s="11" t="inlineStr">
        <is>
          <t>Iris-versicolor</t>
        </is>
      </c>
    </row>
    <row r="68" ht="14.25" customHeight="1" s="96">
      <c r="A68" s="4" t="n">
        <v>5.8</v>
      </c>
      <c r="B68" s="7" t="n">
        <v>2.7</v>
      </c>
      <c r="C68" s="7" t="n">
        <v>4.1</v>
      </c>
      <c r="D68" s="7" t="n">
        <v>1</v>
      </c>
      <c r="E68" s="11" t="inlineStr">
        <is>
          <t>Iris-versicolor</t>
        </is>
      </c>
    </row>
    <row r="69" ht="14.25" customHeight="1" s="96">
      <c r="A69" s="4" t="n">
        <v>6.2</v>
      </c>
      <c r="B69" s="7" t="n">
        <v>2.2</v>
      </c>
      <c r="C69" s="7" t="n">
        <v>4.5</v>
      </c>
      <c r="D69" s="7" t="n">
        <v>1.5</v>
      </c>
      <c r="E69" s="11" t="inlineStr">
        <is>
          <t>Iris-versicolor</t>
        </is>
      </c>
    </row>
    <row r="70" ht="14.25" customHeight="1" s="96">
      <c r="A70" s="4" t="n">
        <v>5.6</v>
      </c>
      <c r="B70" s="7" t="n">
        <v>2.5</v>
      </c>
      <c r="C70" s="7" t="n">
        <v>3.9</v>
      </c>
      <c r="D70" s="7" t="n">
        <v>1.1</v>
      </c>
      <c r="E70" s="11" t="inlineStr">
        <is>
          <t>Iris-versicolor</t>
        </is>
      </c>
    </row>
    <row r="71" ht="14.25" customHeight="1" s="96">
      <c r="A71" s="4" t="n">
        <v>5.9</v>
      </c>
      <c r="B71" s="7" t="n">
        <v>3.2</v>
      </c>
      <c r="C71" s="7" t="n">
        <v>4.8</v>
      </c>
      <c r="D71" s="7" t="n">
        <v>1.8</v>
      </c>
      <c r="E71" s="11" t="inlineStr">
        <is>
          <t>Iris-versicolor</t>
        </is>
      </c>
    </row>
    <row r="72" ht="14.25" customHeight="1" s="96">
      <c r="A72" s="4" t="n">
        <v>6.1</v>
      </c>
      <c r="B72" s="7" t="n">
        <v>2.8</v>
      </c>
      <c r="C72" s="7" t="n">
        <v>4</v>
      </c>
      <c r="D72" s="7" t="n">
        <v>1.3</v>
      </c>
      <c r="E72" s="11" t="inlineStr">
        <is>
          <t>Iris-versicolor</t>
        </is>
      </c>
    </row>
    <row r="73" ht="14.25" customHeight="1" s="96">
      <c r="A73" s="4" t="n">
        <v>6.3</v>
      </c>
      <c r="B73" s="7" t="n">
        <v>2.5</v>
      </c>
      <c r="C73" s="7" t="n">
        <v>4.9</v>
      </c>
      <c r="D73" s="7" t="n">
        <v>1.5</v>
      </c>
      <c r="E73" s="11" t="inlineStr">
        <is>
          <t>Iris-versicolor</t>
        </is>
      </c>
    </row>
    <row r="74" ht="14.25" customHeight="1" s="96">
      <c r="A74" s="4" t="n">
        <v>6.1</v>
      </c>
      <c r="B74" s="7" t="n">
        <v>2.8</v>
      </c>
      <c r="C74" s="7" t="n">
        <v>4.7</v>
      </c>
      <c r="D74" s="7" t="n">
        <v>1.2</v>
      </c>
      <c r="E74" s="11" t="inlineStr">
        <is>
          <t>Iris-versicolor</t>
        </is>
      </c>
    </row>
    <row r="75" ht="14.25" customHeight="1" s="96">
      <c r="A75" s="4" t="n">
        <v>6.4</v>
      </c>
      <c r="B75" s="7" t="n">
        <v>2.9</v>
      </c>
      <c r="C75" s="7" t="n">
        <v>4.3</v>
      </c>
      <c r="D75" s="7" t="n">
        <v>1.3</v>
      </c>
      <c r="E75" s="11" t="inlineStr">
        <is>
          <t>Iris-versicolor</t>
        </is>
      </c>
    </row>
    <row r="76" ht="14.25" customHeight="1" s="96">
      <c r="A76" s="4" t="n">
        <v>6.6</v>
      </c>
      <c r="B76" s="7" t="n">
        <v>3</v>
      </c>
      <c r="C76" s="7" t="n">
        <v>4.4</v>
      </c>
      <c r="D76" s="7" t="n">
        <v>1.4</v>
      </c>
      <c r="E76" s="11" t="inlineStr">
        <is>
          <t>Iris-versicolor</t>
        </is>
      </c>
    </row>
    <row r="77" ht="14.25" customHeight="1" s="96">
      <c r="A77" s="4" t="n">
        <v>6.8</v>
      </c>
      <c r="B77" s="7" t="n">
        <v>2.8</v>
      </c>
      <c r="C77" s="7" t="n">
        <v>4.8</v>
      </c>
      <c r="D77" s="7" t="n">
        <v>1.4</v>
      </c>
      <c r="E77" s="11" t="inlineStr">
        <is>
          <t>Iris-versicolor</t>
        </is>
      </c>
    </row>
    <row r="78" ht="14.25" customHeight="1" s="96">
      <c r="A78" s="4" t="n">
        <v>6.7</v>
      </c>
      <c r="B78" s="7" t="n">
        <v>3</v>
      </c>
      <c r="C78" s="7" t="n">
        <v>5</v>
      </c>
      <c r="D78" s="7" t="n">
        <v>1.7</v>
      </c>
      <c r="E78" s="11" t="inlineStr">
        <is>
          <t>Iris-versicolor</t>
        </is>
      </c>
    </row>
    <row r="79" ht="14.25" customHeight="1" s="96">
      <c r="A79" s="4" t="n">
        <v>6</v>
      </c>
      <c r="B79" s="7" t="n">
        <v>2.9</v>
      </c>
      <c r="C79" s="7" t="n">
        <v>4.5</v>
      </c>
      <c r="D79" s="7" t="n">
        <v>1.5</v>
      </c>
      <c r="E79" s="11" t="inlineStr">
        <is>
          <t>Iris-versicolor</t>
        </is>
      </c>
    </row>
    <row r="80" ht="14.25" customHeight="1" s="96">
      <c r="A80" s="4" t="n">
        <v>5.7</v>
      </c>
      <c r="B80" s="7" t="n">
        <v>2.6</v>
      </c>
      <c r="C80" s="7" t="n">
        <v>3.5</v>
      </c>
      <c r="D80" s="7" t="n">
        <v>1</v>
      </c>
      <c r="E80" s="11" t="inlineStr">
        <is>
          <t>Iris-versicolor</t>
        </is>
      </c>
    </row>
    <row r="81" ht="14.25" customHeight="1" s="96">
      <c r="A81" s="4" t="n">
        <v>5.5</v>
      </c>
      <c r="B81" s="7" t="n">
        <v>2.4</v>
      </c>
      <c r="C81" s="7" t="n">
        <v>3.8</v>
      </c>
      <c r="D81" s="7" t="n">
        <v>1.1</v>
      </c>
      <c r="E81" s="11" t="inlineStr">
        <is>
          <t>Iris-versicolor</t>
        </is>
      </c>
    </row>
    <row r="82" ht="14.25" customHeight="1" s="96">
      <c r="A82" s="4" t="n">
        <v>5.5</v>
      </c>
      <c r="B82" s="7" t="n">
        <v>2.4</v>
      </c>
      <c r="C82" s="7" t="n">
        <v>3.7</v>
      </c>
      <c r="D82" s="7" t="n">
        <v>1</v>
      </c>
      <c r="E82" s="11" t="inlineStr">
        <is>
          <t>Iris-versicolor</t>
        </is>
      </c>
    </row>
    <row r="83" ht="14.25" customHeight="1" s="96">
      <c r="A83" s="4" t="n">
        <v>5.8</v>
      </c>
      <c r="B83" s="7" t="n">
        <v>2.7</v>
      </c>
      <c r="C83" s="7" t="n">
        <v>3.9</v>
      </c>
      <c r="D83" s="7" t="n">
        <v>1.2</v>
      </c>
      <c r="E83" s="11" t="inlineStr">
        <is>
          <t>Iris-versicolor</t>
        </is>
      </c>
    </row>
    <row r="84" ht="14.25" customHeight="1" s="96">
      <c r="A84" s="4" t="n">
        <v>6</v>
      </c>
      <c r="B84" s="7" t="n">
        <v>2.7</v>
      </c>
      <c r="C84" s="7" t="n">
        <v>5.1</v>
      </c>
      <c r="D84" s="7" t="n">
        <v>1.6</v>
      </c>
      <c r="E84" s="11" t="inlineStr">
        <is>
          <t>Iris-versicolor</t>
        </is>
      </c>
    </row>
    <row r="85" ht="14.25" customHeight="1" s="96">
      <c r="A85" s="4" t="n">
        <v>5.4</v>
      </c>
      <c r="B85" s="7" t="n">
        <v>3</v>
      </c>
      <c r="C85" s="7" t="n">
        <v>4.5</v>
      </c>
      <c r="D85" s="7" t="n">
        <v>1.5</v>
      </c>
      <c r="E85" s="11" t="inlineStr">
        <is>
          <t>Iris-versicolor</t>
        </is>
      </c>
    </row>
    <row r="86" ht="14.25" customHeight="1" s="96">
      <c r="A86" s="4" t="n">
        <v>6</v>
      </c>
      <c r="B86" s="7" t="n">
        <v>3.4</v>
      </c>
      <c r="C86" s="7" t="n">
        <v>4.5</v>
      </c>
      <c r="D86" s="7" t="n">
        <v>1.6</v>
      </c>
      <c r="E86" s="11" t="inlineStr">
        <is>
          <t>Iris-versicolor</t>
        </is>
      </c>
    </row>
    <row r="87" ht="14.25" customHeight="1" s="96">
      <c r="A87" s="4" t="n">
        <v>6.7</v>
      </c>
      <c r="B87" s="7" t="n">
        <v>3.1</v>
      </c>
      <c r="C87" s="7" t="n">
        <v>4.7</v>
      </c>
      <c r="D87" s="7" t="n">
        <v>1.5</v>
      </c>
      <c r="E87" s="11" t="inlineStr">
        <is>
          <t>Iris-versicolor</t>
        </is>
      </c>
    </row>
    <row r="88" ht="14.25" customHeight="1" s="96">
      <c r="A88" s="4" t="n">
        <v>6.3</v>
      </c>
      <c r="B88" s="7" t="n">
        <v>2.3</v>
      </c>
      <c r="C88" s="7" t="n">
        <v>4.4</v>
      </c>
      <c r="D88" s="7" t="n">
        <v>1.3</v>
      </c>
      <c r="E88" s="11" t="inlineStr">
        <is>
          <t>Iris-versicolor</t>
        </is>
      </c>
    </row>
    <row r="89" ht="14.25" customHeight="1" s="96">
      <c r="A89" s="4" t="n">
        <v>5.6</v>
      </c>
      <c r="B89" s="7" t="n">
        <v>3</v>
      </c>
      <c r="C89" s="7" t="n">
        <v>4.1</v>
      </c>
      <c r="D89" s="7" t="n">
        <v>1.3</v>
      </c>
      <c r="E89" s="11" t="inlineStr">
        <is>
          <t>Iris-versicolor</t>
        </is>
      </c>
    </row>
    <row r="90" ht="14.25" customHeight="1" s="96">
      <c r="A90" s="4" t="n">
        <v>5.5</v>
      </c>
      <c r="B90" s="7" t="n">
        <v>2.5</v>
      </c>
      <c r="C90" s="7" t="n">
        <v>4</v>
      </c>
      <c r="D90" s="7" t="n">
        <v>1.3</v>
      </c>
      <c r="E90" s="11" t="inlineStr">
        <is>
          <t>Iris-versicolor</t>
        </is>
      </c>
    </row>
    <row r="91" ht="14.25" customHeight="1" s="96">
      <c r="A91" s="4" t="n">
        <v>5.5</v>
      </c>
      <c r="B91" s="7" t="n">
        <v>2.6</v>
      </c>
      <c r="C91" s="7" t="n">
        <v>4.4</v>
      </c>
      <c r="D91" s="7" t="n">
        <v>1.2</v>
      </c>
      <c r="E91" s="11" t="inlineStr">
        <is>
          <t>Iris-versicolor</t>
        </is>
      </c>
    </row>
    <row r="92" ht="14.25" customHeight="1" s="96">
      <c r="A92" s="4" t="n">
        <v>6.1</v>
      </c>
      <c r="B92" s="7" t="n">
        <v>3</v>
      </c>
      <c r="C92" s="7" t="n">
        <v>4.6</v>
      </c>
      <c r="D92" s="7" t="n">
        <v>1.4</v>
      </c>
      <c r="E92" s="11" t="inlineStr">
        <is>
          <t>Iris-versicolor</t>
        </is>
      </c>
    </row>
    <row r="93" ht="14.25" customHeight="1" s="96">
      <c r="A93" s="4" t="n">
        <v>5.8</v>
      </c>
      <c r="B93" s="7" t="n">
        <v>2.6</v>
      </c>
      <c r="C93" s="7" t="n">
        <v>4</v>
      </c>
      <c r="D93" s="7" t="n">
        <v>1.2</v>
      </c>
      <c r="E93" s="11" t="inlineStr">
        <is>
          <t>Iris-versicolor</t>
        </is>
      </c>
    </row>
    <row r="94" ht="14.25" customHeight="1" s="96">
      <c r="A94" s="4" t="n">
        <v>5</v>
      </c>
      <c r="B94" s="7" t="n">
        <v>2.3</v>
      </c>
      <c r="C94" s="7" t="n">
        <v>3.3</v>
      </c>
      <c r="D94" s="7" t="n">
        <v>1</v>
      </c>
      <c r="E94" s="11" t="inlineStr">
        <is>
          <t>Iris-versicolor</t>
        </is>
      </c>
    </row>
    <row r="95" ht="14.25" customHeight="1" s="96">
      <c r="A95" s="4" t="n">
        <v>5.6</v>
      </c>
      <c r="B95" s="7" t="n">
        <v>2.7</v>
      </c>
      <c r="C95" s="7" t="n">
        <v>4.2</v>
      </c>
      <c r="D95" s="7" t="n">
        <v>1.3</v>
      </c>
      <c r="E95" s="11" t="inlineStr">
        <is>
          <t>Iris-versicolor</t>
        </is>
      </c>
    </row>
    <row r="96" ht="14.25" customHeight="1" s="96">
      <c r="A96" s="4" t="n">
        <v>5.7</v>
      </c>
      <c r="B96" s="7" t="n">
        <v>3</v>
      </c>
      <c r="C96" s="7" t="n">
        <v>4.2</v>
      </c>
      <c r="D96" s="7" t="n">
        <v>1.2</v>
      </c>
      <c r="E96" s="11" t="inlineStr">
        <is>
          <t>Iris-versicolor</t>
        </is>
      </c>
    </row>
    <row r="97" ht="14.25" customHeight="1" s="96">
      <c r="A97" s="4" t="n">
        <v>5.7</v>
      </c>
      <c r="B97" s="7" t="n">
        <v>2.9</v>
      </c>
      <c r="C97" s="7" t="n">
        <v>4.2</v>
      </c>
      <c r="D97" s="7" t="n">
        <v>1.3</v>
      </c>
      <c r="E97" s="11" t="inlineStr">
        <is>
          <t>Iris-versicolor</t>
        </is>
      </c>
    </row>
    <row r="98" ht="14.25" customHeight="1" s="96">
      <c r="A98" s="4" t="n">
        <v>6.2</v>
      </c>
      <c r="B98" s="7" t="n">
        <v>2.9</v>
      </c>
      <c r="C98" s="7" t="n">
        <v>4.3</v>
      </c>
      <c r="D98" s="7" t="n">
        <v>1.3</v>
      </c>
      <c r="E98" s="11" t="inlineStr">
        <is>
          <t>Iris-versicolor</t>
        </is>
      </c>
    </row>
    <row r="99" ht="14.25" customHeight="1" s="96">
      <c r="A99" s="4" t="n">
        <v>5.1</v>
      </c>
      <c r="B99" s="7" t="n">
        <v>2.5</v>
      </c>
      <c r="C99" s="7" t="n">
        <v>3</v>
      </c>
      <c r="D99" s="7" t="n">
        <v>1.1</v>
      </c>
      <c r="E99" s="11" t="inlineStr">
        <is>
          <t>Iris-versicolor</t>
        </is>
      </c>
    </row>
    <row r="100" ht="14.25" customHeight="1" s="96">
      <c r="A100" s="4" t="n">
        <v>5.7</v>
      </c>
      <c r="B100" s="7" t="n">
        <v>2.8</v>
      </c>
      <c r="C100" s="7" t="n">
        <v>4.1</v>
      </c>
      <c r="D100" s="7" t="n">
        <v>1.3</v>
      </c>
      <c r="E100" s="11" t="inlineStr">
        <is>
          <t>Iris-versicolor</t>
        </is>
      </c>
    </row>
    <row r="101" ht="14.25" customHeight="1" s="96">
      <c r="A101" s="50" t="n"/>
      <c r="B101" s="51" t="n"/>
      <c r="C101" s="51" t="n"/>
      <c r="D101" s="51" t="n"/>
      <c r="E101" s="52" t="n"/>
    </row>
    <row r="102" ht="14.25" customHeight="1" s="96">
      <c r="A102" s="50" t="n"/>
      <c r="B102" s="51" t="n"/>
      <c r="C102" s="51" t="n"/>
      <c r="D102" s="51" t="n"/>
      <c r="E102" s="52" t="n"/>
    </row>
    <row r="103" ht="14.25" customHeight="1" s="96">
      <c r="A103" s="50" t="n"/>
      <c r="B103" s="51" t="n"/>
      <c r="C103" s="51" t="n"/>
      <c r="D103" s="51" t="n"/>
      <c r="E103" s="52" t="n"/>
    </row>
    <row r="104" ht="14.25" customHeight="1" s="96">
      <c r="A104" s="50" t="n"/>
      <c r="B104" s="51" t="n"/>
      <c r="C104" s="51" t="n"/>
      <c r="D104" s="51" t="n"/>
      <c r="E104" s="52" t="n"/>
    </row>
    <row r="105" ht="14.25" customHeight="1" s="96">
      <c r="A105" s="50" t="n"/>
      <c r="B105" s="51" t="n"/>
      <c r="C105" s="51" t="n"/>
      <c r="D105" s="51" t="n"/>
      <c r="E105" s="52" t="n"/>
    </row>
    <row r="106" ht="14.25" customHeight="1" s="96">
      <c r="A106" s="50" t="n"/>
      <c r="B106" s="51" t="n"/>
      <c r="C106" s="51" t="n"/>
      <c r="D106" s="51" t="n"/>
      <c r="E106" s="52" t="n"/>
    </row>
    <row r="107" ht="14.25" customHeight="1" s="96">
      <c r="A107" s="50" t="n"/>
      <c r="B107" s="51" t="n"/>
      <c r="C107" s="51" t="n"/>
      <c r="D107" s="51" t="n"/>
      <c r="E107" s="52" t="n"/>
    </row>
    <row r="108" ht="14.25" customHeight="1" s="96">
      <c r="A108" s="50" t="n"/>
      <c r="B108" s="51" t="n"/>
      <c r="C108" s="51" t="n"/>
      <c r="D108" s="51" t="n"/>
      <c r="E108" s="52" t="n"/>
    </row>
    <row r="109" ht="14.25" customHeight="1" s="96">
      <c r="A109" s="50" t="n"/>
      <c r="B109" s="51" t="n"/>
      <c r="C109" s="51" t="n"/>
      <c r="D109" s="51" t="n"/>
      <c r="E109" s="52" t="n"/>
    </row>
    <row r="110" ht="14.25" customHeight="1" s="96">
      <c r="A110" s="50" t="n"/>
      <c r="B110" s="51" t="n"/>
      <c r="C110" s="51" t="n"/>
      <c r="D110" s="51" t="n"/>
      <c r="E110" s="52" t="n"/>
    </row>
    <row r="111" ht="14.25" customHeight="1" s="96">
      <c r="A111" s="50" t="n"/>
      <c r="B111" s="51" t="n"/>
      <c r="C111" s="51" t="n"/>
      <c r="D111" s="51" t="n"/>
      <c r="E111" s="52" t="n"/>
    </row>
    <row r="112" ht="14.25" customHeight="1" s="96">
      <c r="A112" s="50" t="n"/>
      <c r="B112" s="51" t="n"/>
      <c r="C112" s="51" t="n"/>
      <c r="D112" s="51" t="n"/>
      <c r="E112" s="52" t="n"/>
    </row>
    <row r="113" ht="14.25" customHeight="1" s="96">
      <c r="A113" s="50" t="n"/>
      <c r="B113" s="51" t="n"/>
      <c r="C113" s="51" t="n"/>
      <c r="D113" s="51" t="n"/>
      <c r="E113" s="52" t="n"/>
    </row>
    <row r="114" ht="14.25" customHeight="1" s="96">
      <c r="A114" s="50" t="n"/>
      <c r="B114" s="51" t="n"/>
      <c r="C114" s="51" t="n"/>
      <c r="D114" s="51" t="n"/>
      <c r="E114" s="52" t="n"/>
    </row>
    <row r="115" ht="14.25" customHeight="1" s="96">
      <c r="A115" s="50" t="n"/>
      <c r="B115" s="51" t="n"/>
      <c r="C115" s="51" t="n"/>
      <c r="D115" s="51" t="n"/>
      <c r="E115" s="52" t="n"/>
    </row>
    <row r="116" ht="14.25" customHeight="1" s="96">
      <c r="A116" s="50" t="n"/>
      <c r="B116" s="51" t="n"/>
      <c r="C116" s="51" t="n"/>
      <c r="D116" s="51" t="n"/>
      <c r="E116" s="52" t="n"/>
    </row>
    <row r="117" ht="14.25" customHeight="1" s="96">
      <c r="A117" s="50" t="n"/>
      <c r="B117" s="51" t="n"/>
      <c r="C117" s="51" t="n"/>
      <c r="D117" s="51" t="n"/>
      <c r="E117" s="52" t="n"/>
    </row>
    <row r="118" ht="14.25" customHeight="1" s="96">
      <c r="A118" s="50" t="n"/>
      <c r="B118" s="51" t="n"/>
      <c r="C118" s="51" t="n"/>
      <c r="D118" s="51" t="n"/>
      <c r="E118" s="52" t="n"/>
    </row>
    <row r="119" ht="14.25" customHeight="1" s="96">
      <c r="A119" s="50" t="n"/>
      <c r="B119" s="51" t="n"/>
      <c r="C119" s="51" t="n"/>
      <c r="D119" s="51" t="n"/>
      <c r="E119" s="52" t="n"/>
    </row>
    <row r="120" ht="14.25" customHeight="1" s="96">
      <c r="A120" s="50" t="n"/>
      <c r="B120" s="51" t="n"/>
      <c r="C120" s="51" t="n"/>
      <c r="D120" s="51" t="n"/>
      <c r="E120" s="52" t="n"/>
    </row>
    <row r="121" ht="14.25" customHeight="1" s="96">
      <c r="A121" s="50" t="n"/>
      <c r="B121" s="51" t="n"/>
      <c r="C121" s="51" t="n"/>
      <c r="D121" s="51" t="n"/>
      <c r="E121" s="52" t="n"/>
    </row>
    <row r="122" ht="14.25" customHeight="1" s="96">
      <c r="A122" s="50" t="n"/>
      <c r="B122" s="51" t="n"/>
      <c r="C122" s="51" t="n"/>
      <c r="D122" s="51" t="n"/>
      <c r="E122" s="52" t="n"/>
    </row>
    <row r="123" ht="14.25" customHeight="1" s="96">
      <c r="A123" s="50" t="n"/>
      <c r="B123" s="51" t="n"/>
      <c r="C123" s="51" t="n"/>
      <c r="D123" s="51" t="n"/>
      <c r="E123" s="52" t="n"/>
    </row>
    <row r="124" ht="14.25" customHeight="1" s="96">
      <c r="A124" s="50" t="n"/>
      <c r="B124" s="51" t="n"/>
      <c r="C124" s="51" t="n"/>
      <c r="D124" s="51" t="n"/>
      <c r="E124" s="52" t="n"/>
    </row>
    <row r="125" ht="14.25" customHeight="1" s="96">
      <c r="A125" s="50" t="n"/>
      <c r="B125" s="51" t="n"/>
      <c r="C125" s="51" t="n"/>
      <c r="D125" s="51" t="n"/>
      <c r="E125" s="52" t="n"/>
    </row>
    <row r="126" ht="14.25" customHeight="1" s="96">
      <c r="A126" s="50" t="n"/>
      <c r="B126" s="51" t="n"/>
      <c r="C126" s="51" t="n"/>
      <c r="D126" s="51" t="n"/>
      <c r="E126" s="52" t="n"/>
    </row>
    <row r="127" ht="14.25" customHeight="1" s="96">
      <c r="A127" s="50" t="n"/>
      <c r="B127" s="51" t="n"/>
      <c r="C127" s="51" t="n"/>
      <c r="D127" s="51" t="n"/>
      <c r="E127" s="52" t="n"/>
    </row>
    <row r="128" ht="14.25" customHeight="1" s="96">
      <c r="A128" s="50" t="n"/>
      <c r="B128" s="51" t="n"/>
      <c r="C128" s="51" t="n"/>
      <c r="D128" s="51" t="n"/>
      <c r="E128" s="52" t="n"/>
    </row>
    <row r="129" ht="14.25" customHeight="1" s="96">
      <c r="A129" s="50" t="n"/>
      <c r="B129" s="51" t="n"/>
      <c r="C129" s="51" t="n"/>
      <c r="D129" s="51" t="n"/>
      <c r="E129" s="52" t="n"/>
    </row>
    <row r="130" ht="14.25" customHeight="1" s="96">
      <c r="A130" s="50" t="n"/>
      <c r="B130" s="51" t="n"/>
      <c r="C130" s="51" t="n"/>
      <c r="D130" s="51" t="n"/>
      <c r="E130" s="52" t="n"/>
    </row>
    <row r="131" ht="14.25" customHeight="1" s="96">
      <c r="A131" s="50" t="n"/>
      <c r="B131" s="51" t="n"/>
      <c r="C131" s="51" t="n"/>
      <c r="D131" s="51" t="n"/>
      <c r="E131" s="52" t="n"/>
    </row>
    <row r="132" ht="14.25" customHeight="1" s="96">
      <c r="A132" s="50" t="n"/>
      <c r="B132" s="51" t="n"/>
      <c r="C132" s="51" t="n"/>
      <c r="D132" s="51" t="n"/>
      <c r="E132" s="52" t="n"/>
    </row>
    <row r="133" ht="14.25" customHeight="1" s="96">
      <c r="A133" s="50" t="n"/>
      <c r="B133" s="51" t="n"/>
      <c r="C133" s="51" t="n"/>
      <c r="D133" s="51" t="n"/>
      <c r="E133" s="52" t="n"/>
    </row>
    <row r="134" ht="14.25" customHeight="1" s="96">
      <c r="A134" s="50" t="n"/>
      <c r="B134" s="51" t="n"/>
      <c r="C134" s="51" t="n"/>
      <c r="D134" s="51" t="n"/>
      <c r="E134" s="52" t="n"/>
    </row>
    <row r="135" ht="14.25" customHeight="1" s="96">
      <c r="A135" s="50" t="n"/>
      <c r="B135" s="51" t="n"/>
      <c r="C135" s="51" t="n"/>
      <c r="D135" s="51" t="n"/>
      <c r="E135" s="52" t="n"/>
    </row>
    <row r="136" ht="14.25" customHeight="1" s="96">
      <c r="A136" s="50" t="n"/>
      <c r="B136" s="51" t="n"/>
      <c r="C136" s="51" t="n"/>
      <c r="D136" s="51" t="n"/>
      <c r="E136" s="52" t="n"/>
    </row>
    <row r="137" ht="14.25" customHeight="1" s="96">
      <c r="A137" s="50" t="n"/>
      <c r="B137" s="51" t="n"/>
      <c r="C137" s="51" t="n"/>
      <c r="D137" s="51" t="n"/>
      <c r="E137" s="52" t="n"/>
    </row>
    <row r="138" ht="14.25" customHeight="1" s="96">
      <c r="A138" s="50" t="n"/>
      <c r="B138" s="51" t="n"/>
      <c r="C138" s="51" t="n"/>
      <c r="D138" s="51" t="n"/>
      <c r="E138" s="52" t="n"/>
    </row>
    <row r="139" ht="14.25" customHeight="1" s="96">
      <c r="A139" s="50" t="n"/>
      <c r="B139" s="51" t="n"/>
      <c r="C139" s="51" t="n"/>
      <c r="D139" s="51" t="n"/>
      <c r="E139" s="52" t="n"/>
    </row>
    <row r="140" ht="14.25" customHeight="1" s="96">
      <c r="A140" s="50" t="n"/>
      <c r="B140" s="51" t="n"/>
      <c r="C140" s="51" t="n"/>
      <c r="D140" s="51" t="n"/>
      <c r="E140" s="52" t="n"/>
    </row>
    <row r="141" ht="14.25" customHeight="1" s="96">
      <c r="A141" s="50" t="n"/>
      <c r="B141" s="51" t="n"/>
      <c r="C141" s="51" t="n"/>
      <c r="D141" s="51" t="n"/>
      <c r="E141" s="52" t="n"/>
    </row>
    <row r="142" ht="14.25" customHeight="1" s="96">
      <c r="A142" s="50" t="n"/>
      <c r="B142" s="51" t="n"/>
      <c r="C142" s="51" t="n"/>
      <c r="D142" s="51" t="n"/>
      <c r="E142" s="52" t="n"/>
    </row>
    <row r="143" ht="14.25" customHeight="1" s="96">
      <c r="A143" s="50" t="n"/>
      <c r="B143" s="51" t="n"/>
      <c r="C143" s="51" t="n"/>
      <c r="D143" s="51" t="n"/>
      <c r="E143" s="52" t="n"/>
    </row>
    <row r="144" ht="14.25" customHeight="1" s="96">
      <c r="A144" s="50" t="n"/>
      <c r="B144" s="51" t="n"/>
      <c r="C144" s="51" t="n"/>
      <c r="D144" s="51" t="n"/>
      <c r="E144" s="52" t="n"/>
    </row>
    <row r="145" ht="14.25" customHeight="1" s="96">
      <c r="A145" s="50" t="n"/>
      <c r="B145" s="51" t="n"/>
      <c r="C145" s="51" t="n"/>
      <c r="D145" s="51" t="n"/>
      <c r="E145" s="52" t="n"/>
    </row>
    <row r="146" ht="14.25" customHeight="1" s="96">
      <c r="A146" s="50" t="n"/>
      <c r="B146" s="51" t="n"/>
      <c r="C146" s="51" t="n"/>
      <c r="D146" s="51" t="n"/>
      <c r="E146" s="52" t="n"/>
    </row>
    <row r="147" ht="14.25" customHeight="1" s="96">
      <c r="A147" s="50" t="n"/>
      <c r="B147" s="51" t="n"/>
      <c r="C147" s="51" t="n"/>
      <c r="D147" s="51" t="n"/>
      <c r="E147" s="52" t="n"/>
    </row>
    <row r="148" ht="14.25" customHeight="1" s="96">
      <c r="A148" s="50" t="n"/>
      <c r="B148" s="51" t="n"/>
      <c r="C148" s="51" t="n"/>
      <c r="D148" s="51" t="n"/>
      <c r="E148" s="52" t="n"/>
    </row>
    <row r="149" ht="14.25" customHeight="1" s="96">
      <c r="A149" s="50" t="n"/>
      <c r="B149" s="51" t="n"/>
      <c r="C149" s="51" t="n"/>
      <c r="D149" s="51" t="n"/>
      <c r="E149" s="52" t="n"/>
    </row>
    <row r="150" ht="14.25" customHeight="1" s="96">
      <c r="A150" s="50" t="n"/>
      <c r="B150" s="51" t="n"/>
      <c r="C150" s="51" t="n"/>
      <c r="D150" s="51" t="n"/>
      <c r="E150" s="52" t="n"/>
    </row>
    <row r="151" ht="14.25" customHeight="1" s="96">
      <c r="A151" s="51" t="n"/>
      <c r="B151" s="51" t="n"/>
      <c r="C151" s="51" t="n"/>
      <c r="D151" s="51" t="n"/>
      <c r="E151" s="52" t="n"/>
    </row>
    <row r="152" ht="14.25" customHeight="1" s="96">
      <c r="A152" s="51" t="n"/>
      <c r="B152" s="51" t="n"/>
      <c r="C152" s="51" t="n"/>
      <c r="D152" s="51" t="n"/>
      <c r="E152" s="52" t="n"/>
    </row>
    <row r="153" ht="14.25" customHeight="1" s="96">
      <c r="A153" s="51" t="n"/>
      <c r="B153" s="51" t="n"/>
      <c r="C153" s="51" t="n"/>
      <c r="D153" s="51" t="n"/>
      <c r="E153" s="52" t="n"/>
    </row>
    <row r="154" ht="14.25" customHeight="1" s="96">
      <c r="A154" s="51" t="n"/>
      <c r="B154" s="51" t="n"/>
      <c r="C154" s="51" t="n"/>
      <c r="D154" s="51" t="n"/>
      <c r="E154" s="52" t="n"/>
    </row>
    <row r="155" ht="14.25" customHeight="1" s="96">
      <c r="A155" s="51" t="n"/>
      <c r="B155" s="51" t="n"/>
      <c r="C155" s="51" t="n"/>
      <c r="D155" s="51" t="n"/>
      <c r="E155" s="52" t="n"/>
    </row>
    <row r="156" ht="14.25" customHeight="1" s="96">
      <c r="A156" s="51" t="n"/>
      <c r="B156" s="51" t="n"/>
      <c r="C156" s="51" t="n"/>
      <c r="D156" s="51" t="n"/>
      <c r="E156" s="52" t="n"/>
    </row>
    <row r="157" ht="14.25" customHeight="1" s="96">
      <c r="A157" s="51" t="n"/>
      <c r="B157" s="51" t="n"/>
      <c r="C157" s="51" t="n"/>
      <c r="D157" s="51" t="n"/>
      <c r="E157" s="52" t="n"/>
    </row>
    <row r="158" ht="14.25" customHeight="1" s="96">
      <c r="A158" s="51" t="n"/>
      <c r="B158" s="51" t="n"/>
      <c r="C158" s="51" t="n"/>
      <c r="D158" s="51" t="n"/>
      <c r="E158" s="52" t="n"/>
    </row>
    <row r="159" ht="14.25" customHeight="1" s="96">
      <c r="A159" s="51" t="n"/>
      <c r="B159" s="51" t="n"/>
      <c r="C159" s="51" t="n"/>
      <c r="D159" s="51" t="n"/>
      <c r="E159" s="52" t="n"/>
    </row>
    <row r="160" ht="14.25" customHeight="1" s="96">
      <c r="A160" s="51" t="n"/>
      <c r="B160" s="51" t="n"/>
      <c r="C160" s="51" t="n"/>
      <c r="D160" s="51" t="n"/>
      <c r="E160" s="52" t="n"/>
    </row>
    <row r="161" ht="14.25" customHeight="1" s="96">
      <c r="A161" s="51" t="n"/>
      <c r="B161" s="51" t="n"/>
      <c r="C161" s="51" t="n"/>
      <c r="D161" s="51" t="n"/>
      <c r="E161" s="52" t="n"/>
    </row>
    <row r="162" ht="14.25" customHeight="1" s="96">
      <c r="A162" s="51" t="n"/>
      <c r="B162" s="51" t="n"/>
      <c r="C162" s="51" t="n"/>
      <c r="D162" s="51" t="n"/>
      <c r="E162" s="52" t="n"/>
    </row>
    <row r="163" ht="14.25" customHeight="1" s="96">
      <c r="A163" s="51" t="n"/>
      <c r="B163" s="51" t="n"/>
      <c r="C163" s="51" t="n"/>
      <c r="D163" s="51" t="n"/>
      <c r="E163" s="52" t="n"/>
    </row>
    <row r="164" ht="14.25" customHeight="1" s="96">
      <c r="A164" s="51" t="n"/>
      <c r="B164" s="51" t="n"/>
      <c r="C164" s="51" t="n"/>
      <c r="D164" s="51" t="n"/>
      <c r="E164" s="52" t="n"/>
    </row>
    <row r="165" ht="14.25" customHeight="1" s="96">
      <c r="A165" s="51" t="n"/>
      <c r="B165" s="51" t="n"/>
      <c r="C165" s="51" t="n"/>
      <c r="D165" s="51" t="n"/>
      <c r="E165" s="52" t="n"/>
    </row>
    <row r="166" ht="14.25" customHeight="1" s="96">
      <c r="A166" s="51" t="n"/>
      <c r="B166" s="51" t="n"/>
      <c r="C166" s="51" t="n"/>
      <c r="D166" s="51" t="n"/>
      <c r="E166" s="52" t="n"/>
    </row>
    <row r="167" ht="14.25" customHeight="1" s="96">
      <c r="A167" s="51" t="n"/>
      <c r="B167" s="51" t="n"/>
      <c r="C167" s="51" t="n"/>
      <c r="D167" s="51" t="n"/>
      <c r="E167" s="52" t="n"/>
    </row>
    <row r="168" ht="14.25" customHeight="1" s="96">
      <c r="A168" s="51" t="n"/>
      <c r="B168" s="51" t="n"/>
      <c r="C168" s="51" t="n"/>
      <c r="D168" s="51" t="n"/>
      <c r="E168" s="52" t="n"/>
    </row>
    <row r="169" ht="14.25" customHeight="1" s="96">
      <c r="A169" s="51" t="n"/>
      <c r="B169" s="51" t="n"/>
      <c r="C169" s="51" t="n"/>
      <c r="D169" s="51" t="n"/>
      <c r="E169" s="52" t="n"/>
    </row>
    <row r="170" ht="14.25" customHeight="1" s="96">
      <c r="A170" s="51" t="n"/>
      <c r="B170" s="51" t="n"/>
      <c r="C170" s="51" t="n"/>
      <c r="D170" s="51" t="n"/>
      <c r="E170" s="52" t="n"/>
    </row>
    <row r="171" ht="14.25" customHeight="1" s="96">
      <c r="A171" s="51" t="n"/>
      <c r="B171" s="51" t="n"/>
      <c r="C171" s="51" t="n"/>
      <c r="D171" s="51" t="n"/>
      <c r="E171" s="52" t="n"/>
    </row>
    <row r="172" ht="14.25" customHeight="1" s="96">
      <c r="A172" s="51" t="n"/>
      <c r="B172" s="51" t="n"/>
      <c r="C172" s="51" t="n"/>
      <c r="D172" s="51" t="n"/>
      <c r="E172" s="52" t="n"/>
    </row>
    <row r="173" ht="14.25" customHeight="1" s="96">
      <c r="A173" s="51" t="n"/>
      <c r="B173" s="51" t="n"/>
      <c r="C173" s="51" t="n"/>
      <c r="D173" s="51" t="n"/>
      <c r="E173" s="52" t="n"/>
    </row>
    <row r="174" ht="14.25" customHeight="1" s="96">
      <c r="A174" s="51" t="n"/>
      <c r="B174" s="51" t="n"/>
      <c r="C174" s="51" t="n"/>
      <c r="D174" s="51" t="n"/>
      <c r="E174" s="52" t="n"/>
    </row>
    <row r="175" ht="14.25" customHeight="1" s="96">
      <c r="A175" s="51" t="n"/>
      <c r="B175" s="51" t="n"/>
      <c r="C175" s="51" t="n"/>
      <c r="D175" s="51" t="n"/>
      <c r="E175" s="52" t="n"/>
    </row>
    <row r="176" ht="14.25" customHeight="1" s="96">
      <c r="A176" s="51" t="n"/>
      <c r="B176" s="51" t="n"/>
      <c r="C176" s="51" t="n"/>
      <c r="D176" s="51" t="n"/>
      <c r="E176" s="52" t="n"/>
    </row>
    <row r="177" ht="14.25" customHeight="1" s="96">
      <c r="A177" s="51" t="n"/>
      <c r="B177" s="51" t="n"/>
      <c r="C177" s="51" t="n"/>
      <c r="D177" s="51" t="n"/>
      <c r="E177" s="52" t="n"/>
    </row>
    <row r="178" ht="14.25" customHeight="1" s="96">
      <c r="A178" s="51" t="n"/>
      <c r="B178" s="51" t="n"/>
      <c r="C178" s="51" t="n"/>
      <c r="D178" s="51" t="n"/>
      <c r="E178" s="52" t="n"/>
    </row>
    <row r="179" ht="14.25" customHeight="1" s="96">
      <c r="A179" s="51" t="n"/>
      <c r="B179" s="51" t="n"/>
      <c r="C179" s="51" t="n"/>
      <c r="D179" s="51" t="n"/>
      <c r="E179" s="52" t="n"/>
    </row>
    <row r="180" ht="14.25" customHeight="1" s="96">
      <c r="A180" s="51" t="n"/>
      <c r="B180" s="51" t="n"/>
      <c r="C180" s="51" t="n"/>
      <c r="D180" s="51" t="n"/>
      <c r="E180" s="52" t="n"/>
    </row>
    <row r="181" ht="14.25" customHeight="1" s="96">
      <c r="A181" s="51" t="n"/>
      <c r="B181" s="51" t="n"/>
      <c r="C181" s="51" t="n"/>
      <c r="D181" s="51" t="n"/>
      <c r="E181" s="52" t="n"/>
    </row>
    <row r="182" ht="14.25" customHeight="1" s="96">
      <c r="A182" s="51" t="n"/>
      <c r="B182" s="51" t="n"/>
      <c r="C182" s="51" t="n"/>
      <c r="D182" s="51" t="n"/>
      <c r="E182" s="52" t="n"/>
    </row>
    <row r="183" ht="14.25" customHeight="1" s="96">
      <c r="A183" s="51" t="n"/>
      <c r="B183" s="51" t="n"/>
      <c r="C183" s="51" t="n"/>
      <c r="D183" s="51" t="n"/>
      <c r="E183" s="52" t="n"/>
    </row>
    <row r="184" ht="14.25" customHeight="1" s="96">
      <c r="A184" s="51" t="n"/>
      <c r="B184" s="51" t="n"/>
      <c r="C184" s="51" t="n"/>
      <c r="D184" s="51" t="n"/>
      <c r="E184" s="52" t="n"/>
    </row>
    <row r="185" ht="14.25" customHeight="1" s="96">
      <c r="A185" s="51" t="n"/>
      <c r="B185" s="51" t="n"/>
      <c r="C185" s="51" t="n"/>
      <c r="D185" s="51" t="n"/>
      <c r="E185" s="52" t="n"/>
    </row>
    <row r="186" ht="14.25" customHeight="1" s="96">
      <c r="A186" s="51" t="n"/>
      <c r="B186" s="51" t="n"/>
      <c r="C186" s="51" t="n"/>
      <c r="D186" s="51" t="n"/>
      <c r="E186" s="52" t="n"/>
    </row>
    <row r="187" ht="14.25" customHeight="1" s="96">
      <c r="A187" s="51" t="n"/>
      <c r="B187" s="51" t="n"/>
      <c r="C187" s="51" t="n"/>
      <c r="D187" s="51" t="n"/>
      <c r="E187" s="52" t="n"/>
    </row>
    <row r="188" ht="14.25" customHeight="1" s="96">
      <c r="A188" s="51" t="n"/>
      <c r="B188" s="51" t="n"/>
      <c r="C188" s="51" t="n"/>
      <c r="D188" s="51" t="n"/>
      <c r="E188" s="52" t="n"/>
    </row>
    <row r="189" ht="14.25" customHeight="1" s="96">
      <c r="A189" s="51" t="n"/>
      <c r="B189" s="51" t="n"/>
      <c r="C189" s="51" t="n"/>
      <c r="D189" s="51" t="n"/>
      <c r="E189" s="52" t="n"/>
    </row>
    <row r="190" ht="14.25" customHeight="1" s="96">
      <c r="A190" s="51" t="n"/>
      <c r="B190" s="51" t="n"/>
      <c r="C190" s="51" t="n"/>
      <c r="D190" s="51" t="n"/>
      <c r="E190" s="52" t="n"/>
    </row>
    <row r="191" ht="14.25" customHeight="1" s="96">
      <c r="A191" s="51" t="n"/>
      <c r="B191" s="51" t="n"/>
      <c r="C191" s="51" t="n"/>
      <c r="D191" s="51" t="n"/>
      <c r="E191" s="52" t="n"/>
    </row>
    <row r="192" ht="14.25" customHeight="1" s="96">
      <c r="A192" s="51" t="n"/>
      <c r="B192" s="51" t="n"/>
      <c r="C192" s="51" t="n"/>
      <c r="D192" s="51" t="n"/>
      <c r="E192" s="52" t="n"/>
    </row>
    <row r="193" ht="14.25" customHeight="1" s="96">
      <c r="A193" s="51" t="n"/>
      <c r="B193" s="51" t="n"/>
      <c r="C193" s="51" t="n"/>
      <c r="D193" s="51" t="n"/>
      <c r="E193" s="52" t="n"/>
    </row>
    <row r="194" ht="14.25" customHeight="1" s="96">
      <c r="A194" s="51" t="n"/>
      <c r="B194" s="51" t="n"/>
      <c r="C194" s="51" t="n"/>
      <c r="D194" s="51" t="n"/>
      <c r="E194" s="52" t="n"/>
    </row>
    <row r="195" ht="14.25" customHeight="1" s="96">
      <c r="A195" s="51" t="n"/>
      <c r="B195" s="51" t="n"/>
      <c r="C195" s="51" t="n"/>
      <c r="D195" s="51" t="n"/>
      <c r="E195" s="52" t="n"/>
    </row>
    <row r="196" ht="14.25" customHeight="1" s="96">
      <c r="A196" s="51" t="n"/>
      <c r="B196" s="51" t="n"/>
      <c r="C196" s="51" t="n"/>
      <c r="D196" s="51" t="n"/>
      <c r="E196" s="52" t="n"/>
    </row>
    <row r="197" ht="14.25" customHeight="1" s="96">
      <c r="A197" s="51" t="n"/>
      <c r="B197" s="51" t="n"/>
      <c r="C197" s="51" t="n"/>
      <c r="D197" s="51" t="n"/>
      <c r="E197" s="52" t="n"/>
    </row>
    <row r="198" ht="14.25" customHeight="1" s="96">
      <c r="A198" s="51" t="n"/>
      <c r="B198" s="51" t="n"/>
      <c r="C198" s="51" t="n"/>
      <c r="D198" s="51" t="n"/>
      <c r="E198" s="52" t="n"/>
    </row>
    <row r="199" ht="14.25" customHeight="1" s="96">
      <c r="A199" s="51" t="n"/>
      <c r="B199" s="51" t="n"/>
      <c r="C199" s="51" t="n"/>
      <c r="D199" s="51" t="n"/>
      <c r="E199" s="52" t="n"/>
    </row>
    <row r="200" ht="14.25" customHeight="1" s="96">
      <c r="A200" s="51" t="n"/>
      <c r="B200" s="51" t="n"/>
      <c r="C200" s="51" t="n"/>
      <c r="D200" s="51" t="n"/>
      <c r="E200" s="52" t="n"/>
    </row>
    <row r="201" ht="14.25" customHeight="1" s="96">
      <c r="A201" s="51" t="n"/>
      <c r="B201" s="51" t="n"/>
      <c r="C201" s="51" t="n"/>
      <c r="D201" s="51" t="n"/>
      <c r="E201" s="52" t="n"/>
    </row>
    <row r="202" ht="14.25" customHeight="1" s="96">
      <c r="A202" s="51" t="n"/>
      <c r="B202" s="51" t="n"/>
      <c r="C202" s="51" t="n"/>
      <c r="D202" s="51" t="n"/>
      <c r="E202" s="52" t="n"/>
    </row>
    <row r="203" ht="14.25" customHeight="1" s="96">
      <c r="A203" s="51" t="n"/>
      <c r="B203" s="51" t="n"/>
      <c r="C203" s="51" t="n"/>
      <c r="D203" s="51" t="n"/>
      <c r="E203" s="52" t="n"/>
    </row>
    <row r="204" ht="14.25" customHeight="1" s="96">
      <c r="A204" s="51" t="n"/>
      <c r="B204" s="51" t="n"/>
      <c r="C204" s="51" t="n"/>
      <c r="D204" s="51" t="n"/>
      <c r="E204" s="52" t="n"/>
    </row>
    <row r="205" ht="14.25" customHeight="1" s="96">
      <c r="A205" s="51" t="n"/>
      <c r="B205" s="51" t="n"/>
      <c r="C205" s="51" t="n"/>
      <c r="D205" s="51" t="n"/>
      <c r="E205" s="52" t="n"/>
    </row>
    <row r="206" ht="14.25" customHeight="1" s="96">
      <c r="A206" s="51" t="n"/>
      <c r="B206" s="51" t="n"/>
      <c r="C206" s="51" t="n"/>
      <c r="D206" s="51" t="n"/>
      <c r="E206" s="52" t="n"/>
    </row>
    <row r="207" ht="14.25" customHeight="1" s="96">
      <c r="A207" s="51" t="n"/>
      <c r="B207" s="51" t="n"/>
      <c r="C207" s="51" t="n"/>
      <c r="D207" s="51" t="n"/>
      <c r="E207" s="52" t="n"/>
    </row>
    <row r="208" ht="14.25" customHeight="1" s="96">
      <c r="A208" s="51" t="n"/>
      <c r="B208" s="51" t="n"/>
      <c r="C208" s="51" t="n"/>
      <c r="D208" s="51" t="n"/>
      <c r="E208" s="52" t="n"/>
    </row>
    <row r="209" ht="14.25" customHeight="1" s="96">
      <c r="A209" s="51" t="n"/>
      <c r="B209" s="51" t="n"/>
      <c r="C209" s="51" t="n"/>
      <c r="D209" s="51" t="n"/>
      <c r="E209" s="52" t="n"/>
    </row>
    <row r="210" ht="14.25" customHeight="1" s="96">
      <c r="A210" s="51" t="n"/>
      <c r="B210" s="51" t="n"/>
      <c r="C210" s="51" t="n"/>
      <c r="D210" s="51" t="n"/>
      <c r="E210" s="52" t="n"/>
    </row>
    <row r="211" ht="14.25" customHeight="1" s="96">
      <c r="A211" s="51" t="n"/>
      <c r="B211" s="51" t="n"/>
      <c r="C211" s="51" t="n"/>
      <c r="D211" s="51" t="n"/>
      <c r="E211" s="52" t="n"/>
    </row>
    <row r="212" ht="14.25" customHeight="1" s="96">
      <c r="A212" s="51" t="n"/>
      <c r="B212" s="51" t="n"/>
      <c r="C212" s="51" t="n"/>
      <c r="D212" s="51" t="n"/>
      <c r="E212" s="52" t="n"/>
    </row>
    <row r="213" ht="14.25" customHeight="1" s="96">
      <c r="A213" s="51" t="n"/>
      <c r="B213" s="51" t="n"/>
      <c r="C213" s="51" t="n"/>
      <c r="D213" s="51" t="n"/>
      <c r="E213" s="52" t="n"/>
    </row>
    <row r="214" ht="14.25" customHeight="1" s="96">
      <c r="A214" s="51" t="n"/>
      <c r="B214" s="51" t="n"/>
      <c r="C214" s="51" t="n"/>
      <c r="D214" s="51" t="n"/>
      <c r="E214" s="52" t="n"/>
    </row>
    <row r="215" ht="14.25" customHeight="1" s="96">
      <c r="A215" s="51" t="n"/>
      <c r="B215" s="51" t="n"/>
      <c r="C215" s="51" t="n"/>
      <c r="D215" s="51" t="n"/>
      <c r="E215" s="52" t="n"/>
    </row>
    <row r="216" ht="14.25" customHeight="1" s="96">
      <c r="A216" s="51" t="n"/>
      <c r="B216" s="51" t="n"/>
      <c r="C216" s="51" t="n"/>
      <c r="D216" s="51" t="n"/>
      <c r="E216" s="52" t="n"/>
    </row>
    <row r="217" ht="14.25" customHeight="1" s="96">
      <c r="A217" s="51" t="n"/>
      <c r="B217" s="51" t="n"/>
      <c r="C217" s="51" t="n"/>
      <c r="D217" s="51" t="n"/>
      <c r="E217" s="52" t="n"/>
    </row>
    <row r="218" ht="14.25" customHeight="1" s="96">
      <c r="A218" s="51" t="n"/>
      <c r="B218" s="51" t="n"/>
      <c r="C218" s="51" t="n"/>
      <c r="D218" s="51" t="n"/>
      <c r="E218" s="52" t="n"/>
    </row>
    <row r="219" ht="14.25" customHeight="1" s="96">
      <c r="A219" s="51" t="n"/>
      <c r="B219" s="51" t="n"/>
      <c r="C219" s="51" t="n"/>
      <c r="D219" s="51" t="n"/>
      <c r="E219" s="52" t="n"/>
    </row>
    <row r="220" ht="14.25" customHeight="1" s="96">
      <c r="A220" s="51" t="n"/>
      <c r="B220" s="51" t="n"/>
      <c r="C220" s="51" t="n"/>
      <c r="D220" s="51" t="n"/>
      <c r="E220" s="52" t="n"/>
    </row>
    <row r="221" ht="14.25" customHeight="1" s="96">
      <c r="A221" s="51" t="n"/>
      <c r="B221" s="51" t="n"/>
      <c r="C221" s="51" t="n"/>
      <c r="D221" s="51" t="n"/>
      <c r="E221" s="52" t="n"/>
    </row>
    <row r="222" ht="14.25" customHeight="1" s="96">
      <c r="A222" s="51" t="n"/>
      <c r="B222" s="51" t="n"/>
      <c r="C222" s="51" t="n"/>
      <c r="D222" s="51" t="n"/>
      <c r="E222" s="52" t="n"/>
    </row>
    <row r="223" ht="14.25" customHeight="1" s="96">
      <c r="A223" s="51" t="n"/>
      <c r="B223" s="51" t="n"/>
      <c r="C223" s="51" t="n"/>
      <c r="D223" s="51" t="n"/>
      <c r="E223" s="52" t="n"/>
    </row>
    <row r="224" ht="14.25" customHeight="1" s="96">
      <c r="A224" s="51" t="n"/>
      <c r="B224" s="51" t="n"/>
      <c r="C224" s="51" t="n"/>
      <c r="D224" s="51" t="n"/>
      <c r="E224" s="52" t="n"/>
    </row>
    <row r="225" ht="14.25" customHeight="1" s="96">
      <c r="A225" s="51" t="n"/>
      <c r="B225" s="51" t="n"/>
      <c r="C225" s="51" t="n"/>
      <c r="D225" s="51" t="n"/>
      <c r="E225" s="52" t="n"/>
    </row>
    <row r="226" ht="14.25" customHeight="1" s="96">
      <c r="A226" s="51" t="n"/>
      <c r="B226" s="51" t="n"/>
      <c r="C226" s="51" t="n"/>
      <c r="D226" s="51" t="n"/>
      <c r="E226" s="52" t="n"/>
    </row>
    <row r="227" ht="14.25" customHeight="1" s="96">
      <c r="A227" s="51" t="n"/>
      <c r="B227" s="51" t="n"/>
      <c r="C227" s="51" t="n"/>
      <c r="D227" s="51" t="n"/>
      <c r="E227" s="52" t="n"/>
    </row>
    <row r="228" ht="14.25" customHeight="1" s="96">
      <c r="A228" s="51" t="n"/>
      <c r="B228" s="51" t="n"/>
      <c r="C228" s="51" t="n"/>
      <c r="D228" s="51" t="n"/>
      <c r="E228" s="52" t="n"/>
    </row>
    <row r="229" ht="14.25" customHeight="1" s="96">
      <c r="A229" s="51" t="n"/>
      <c r="B229" s="51" t="n"/>
      <c r="C229" s="51" t="n"/>
      <c r="D229" s="51" t="n"/>
      <c r="E229" s="52" t="n"/>
    </row>
    <row r="230" ht="14.25" customHeight="1" s="96">
      <c r="A230" s="51" t="n"/>
      <c r="B230" s="51" t="n"/>
      <c r="C230" s="51" t="n"/>
      <c r="D230" s="51" t="n"/>
      <c r="E230" s="52" t="n"/>
    </row>
    <row r="231" ht="14.25" customHeight="1" s="96">
      <c r="A231" s="51" t="n"/>
      <c r="B231" s="51" t="n"/>
      <c r="C231" s="51" t="n"/>
      <c r="D231" s="51" t="n"/>
      <c r="E231" s="52" t="n"/>
    </row>
    <row r="232" ht="14.25" customHeight="1" s="96">
      <c r="A232" s="51" t="n"/>
      <c r="B232" s="51" t="n"/>
      <c r="C232" s="51" t="n"/>
      <c r="D232" s="51" t="n"/>
      <c r="E232" s="52" t="n"/>
    </row>
    <row r="233" ht="14.25" customHeight="1" s="96">
      <c r="A233" s="51" t="n"/>
      <c r="B233" s="51" t="n"/>
      <c r="C233" s="51" t="n"/>
      <c r="D233" s="51" t="n"/>
      <c r="E233" s="52" t="n"/>
    </row>
    <row r="234" ht="14.25" customHeight="1" s="96">
      <c r="A234" s="51" t="n"/>
      <c r="B234" s="51" t="n"/>
      <c r="C234" s="51" t="n"/>
      <c r="D234" s="51" t="n"/>
      <c r="E234" s="52" t="n"/>
    </row>
    <row r="235" ht="14.25" customHeight="1" s="96">
      <c r="A235" s="51" t="n"/>
      <c r="B235" s="51" t="n"/>
      <c r="C235" s="51" t="n"/>
      <c r="D235" s="51" t="n"/>
      <c r="E235" s="52" t="n"/>
    </row>
    <row r="236" ht="14.25" customHeight="1" s="96">
      <c r="A236" s="51" t="n"/>
      <c r="B236" s="51" t="n"/>
      <c r="C236" s="51" t="n"/>
      <c r="D236" s="51" t="n"/>
      <c r="E236" s="52" t="n"/>
    </row>
    <row r="237" ht="14.25" customHeight="1" s="96">
      <c r="A237" s="51" t="n"/>
      <c r="B237" s="51" t="n"/>
      <c r="C237" s="51" t="n"/>
      <c r="D237" s="51" t="n"/>
      <c r="E237" s="52" t="n"/>
    </row>
    <row r="238" ht="14.25" customHeight="1" s="96">
      <c r="A238" s="51" t="n"/>
      <c r="B238" s="51" t="n"/>
      <c r="C238" s="51" t="n"/>
      <c r="D238" s="51" t="n"/>
      <c r="E238" s="52" t="n"/>
    </row>
    <row r="239" ht="14.25" customHeight="1" s="96">
      <c r="A239" s="51" t="n"/>
      <c r="B239" s="51" t="n"/>
      <c r="C239" s="51" t="n"/>
      <c r="D239" s="51" t="n"/>
      <c r="E239" s="52" t="n"/>
    </row>
    <row r="240" ht="14.25" customHeight="1" s="96">
      <c r="A240" s="51" t="n"/>
      <c r="B240" s="51" t="n"/>
      <c r="C240" s="51" t="n"/>
      <c r="D240" s="51" t="n"/>
      <c r="E240" s="52" t="n"/>
    </row>
    <row r="241" ht="14.25" customHeight="1" s="96">
      <c r="A241" s="51" t="n"/>
      <c r="B241" s="51" t="n"/>
      <c r="C241" s="51" t="n"/>
      <c r="D241" s="51" t="n"/>
      <c r="E241" s="52" t="n"/>
    </row>
    <row r="242" ht="14.25" customHeight="1" s="96">
      <c r="A242" s="51" t="n"/>
      <c r="B242" s="51" t="n"/>
      <c r="C242" s="51" t="n"/>
      <c r="D242" s="51" t="n"/>
      <c r="E242" s="52" t="n"/>
    </row>
    <row r="243" ht="14.25" customHeight="1" s="96">
      <c r="A243" s="51" t="n"/>
      <c r="B243" s="51" t="n"/>
      <c r="C243" s="51" t="n"/>
      <c r="D243" s="51" t="n"/>
      <c r="E243" s="52" t="n"/>
    </row>
    <row r="244" ht="14.25" customHeight="1" s="96">
      <c r="A244" s="51" t="n"/>
      <c r="B244" s="51" t="n"/>
      <c r="C244" s="51" t="n"/>
      <c r="D244" s="51" t="n"/>
      <c r="E244" s="52" t="n"/>
    </row>
    <row r="245" ht="14.25" customHeight="1" s="96">
      <c r="A245" s="51" t="n"/>
      <c r="B245" s="51" t="n"/>
      <c r="C245" s="51" t="n"/>
      <c r="D245" s="51" t="n"/>
      <c r="E245" s="52" t="n"/>
    </row>
    <row r="246" ht="14.25" customHeight="1" s="96">
      <c r="A246" s="51" t="n"/>
      <c r="B246" s="51" t="n"/>
      <c r="C246" s="51" t="n"/>
      <c r="D246" s="51" t="n"/>
      <c r="E246" s="52" t="n"/>
    </row>
    <row r="247" ht="14.25" customHeight="1" s="96">
      <c r="A247" s="51" t="n"/>
      <c r="B247" s="51" t="n"/>
      <c r="C247" s="51" t="n"/>
      <c r="D247" s="51" t="n"/>
      <c r="E247" s="52" t="n"/>
    </row>
    <row r="248" ht="14.25" customHeight="1" s="96">
      <c r="A248" s="51" t="n"/>
      <c r="B248" s="51" t="n"/>
      <c r="C248" s="51" t="n"/>
      <c r="D248" s="51" t="n"/>
      <c r="E248" s="52" t="n"/>
    </row>
    <row r="249" ht="14.25" customHeight="1" s="96">
      <c r="A249" s="51" t="n"/>
      <c r="B249" s="51" t="n"/>
      <c r="C249" s="51" t="n"/>
      <c r="D249" s="51" t="n"/>
      <c r="E249" s="52" t="n"/>
    </row>
    <row r="250" ht="14.25" customHeight="1" s="96">
      <c r="A250" s="51" t="n"/>
      <c r="B250" s="51" t="n"/>
      <c r="C250" s="51" t="n"/>
      <c r="D250" s="51" t="n"/>
      <c r="E250" s="52" t="n"/>
    </row>
    <row r="251" ht="14.25" customHeight="1" s="96">
      <c r="A251" s="51" t="n"/>
      <c r="B251" s="51" t="n"/>
      <c r="C251" s="51" t="n"/>
      <c r="D251" s="51" t="n"/>
      <c r="E251" s="52" t="n"/>
    </row>
    <row r="252" ht="14.25" customHeight="1" s="96">
      <c r="A252" s="51" t="n"/>
      <c r="B252" s="51" t="n"/>
      <c r="C252" s="51" t="n"/>
      <c r="D252" s="51" t="n"/>
      <c r="E252" s="52" t="n"/>
    </row>
    <row r="253" ht="14.25" customHeight="1" s="96">
      <c r="A253" s="51" t="n"/>
      <c r="B253" s="51" t="n"/>
      <c r="C253" s="51" t="n"/>
      <c r="D253" s="51" t="n"/>
      <c r="E253" s="52" t="n"/>
    </row>
    <row r="254" ht="14.25" customHeight="1" s="96">
      <c r="A254" s="51" t="n"/>
      <c r="B254" s="51" t="n"/>
      <c r="C254" s="51" t="n"/>
      <c r="D254" s="51" t="n"/>
      <c r="E254" s="52" t="n"/>
    </row>
    <row r="255" ht="14.25" customHeight="1" s="96">
      <c r="A255" s="51" t="n"/>
      <c r="B255" s="51" t="n"/>
      <c r="C255" s="51" t="n"/>
      <c r="D255" s="51" t="n"/>
      <c r="E255" s="52" t="n"/>
    </row>
    <row r="256" ht="14.25" customHeight="1" s="96">
      <c r="A256" s="51" t="n"/>
      <c r="B256" s="51" t="n"/>
      <c r="C256" s="51" t="n"/>
      <c r="D256" s="51" t="n"/>
      <c r="E256" s="52" t="n"/>
    </row>
    <row r="257" ht="14.25" customHeight="1" s="96">
      <c r="A257" s="51" t="n"/>
      <c r="B257" s="51" t="n"/>
      <c r="C257" s="51" t="n"/>
      <c r="D257" s="51" t="n"/>
      <c r="E257" s="52" t="n"/>
    </row>
    <row r="258" ht="14.25" customHeight="1" s="96">
      <c r="A258" s="51" t="n"/>
      <c r="B258" s="51" t="n"/>
      <c r="C258" s="51" t="n"/>
      <c r="D258" s="51" t="n"/>
      <c r="E258" s="52" t="n"/>
    </row>
    <row r="259" ht="14.25" customHeight="1" s="96">
      <c r="A259" s="51" t="n"/>
      <c r="B259" s="51" t="n"/>
      <c r="C259" s="51" t="n"/>
      <c r="D259" s="51" t="n"/>
      <c r="E259" s="52" t="n"/>
    </row>
    <row r="260" ht="14.25" customHeight="1" s="96">
      <c r="A260" s="51" t="n"/>
      <c r="B260" s="51" t="n"/>
      <c r="C260" s="51" t="n"/>
      <c r="D260" s="51" t="n"/>
      <c r="E260" s="52" t="n"/>
    </row>
    <row r="261" ht="14.25" customHeight="1" s="96">
      <c r="A261" s="51" t="n"/>
      <c r="B261" s="51" t="n"/>
      <c r="C261" s="51" t="n"/>
      <c r="D261" s="51" t="n"/>
      <c r="E261" s="52" t="n"/>
    </row>
    <row r="262" ht="14.25" customHeight="1" s="96">
      <c r="A262" s="51" t="n"/>
      <c r="B262" s="51" t="n"/>
      <c r="C262" s="51" t="n"/>
      <c r="D262" s="51" t="n"/>
      <c r="E262" s="52" t="n"/>
    </row>
    <row r="263" ht="14.25" customHeight="1" s="96">
      <c r="A263" s="51" t="n"/>
      <c r="B263" s="51" t="n"/>
      <c r="C263" s="51" t="n"/>
      <c r="D263" s="51" t="n"/>
      <c r="E263" s="52" t="n"/>
    </row>
    <row r="264" ht="14.25" customHeight="1" s="96">
      <c r="A264" s="51" t="n"/>
      <c r="B264" s="51" t="n"/>
      <c r="C264" s="51" t="n"/>
      <c r="D264" s="51" t="n"/>
      <c r="E264" s="52" t="n"/>
    </row>
    <row r="265" ht="14.25" customHeight="1" s="96">
      <c r="A265" s="51" t="n"/>
      <c r="B265" s="51" t="n"/>
      <c r="C265" s="51" t="n"/>
      <c r="D265" s="51" t="n"/>
      <c r="E265" s="52" t="n"/>
    </row>
    <row r="266" ht="14.25" customHeight="1" s="96">
      <c r="A266" s="51" t="n"/>
      <c r="B266" s="51" t="n"/>
      <c r="C266" s="51" t="n"/>
      <c r="D266" s="51" t="n"/>
      <c r="E266" s="52" t="n"/>
    </row>
    <row r="267" ht="14.25" customHeight="1" s="96">
      <c r="A267" s="51" t="n"/>
      <c r="B267" s="51" t="n"/>
      <c r="C267" s="51" t="n"/>
      <c r="D267" s="51" t="n"/>
      <c r="E267" s="52" t="n"/>
    </row>
    <row r="268" ht="14.25" customHeight="1" s="96">
      <c r="A268" s="51" t="n"/>
      <c r="B268" s="51" t="n"/>
      <c r="C268" s="51" t="n"/>
      <c r="D268" s="51" t="n"/>
      <c r="E268" s="52" t="n"/>
    </row>
    <row r="269" ht="14.25" customHeight="1" s="96">
      <c r="A269" s="51" t="n"/>
      <c r="B269" s="51" t="n"/>
      <c r="C269" s="51" t="n"/>
      <c r="D269" s="51" t="n"/>
      <c r="E269" s="52" t="n"/>
    </row>
    <row r="270" ht="14.25" customHeight="1" s="96">
      <c r="A270" s="51" t="n"/>
      <c r="B270" s="51" t="n"/>
      <c r="C270" s="51" t="n"/>
      <c r="D270" s="51" t="n"/>
      <c r="E270" s="52" t="n"/>
    </row>
    <row r="271" ht="14.25" customHeight="1" s="96">
      <c r="A271" s="51" t="n"/>
      <c r="B271" s="51" t="n"/>
      <c r="C271" s="51" t="n"/>
      <c r="D271" s="51" t="n"/>
      <c r="E271" s="52" t="n"/>
    </row>
    <row r="272" ht="14.25" customHeight="1" s="96">
      <c r="A272" s="51" t="n"/>
      <c r="B272" s="51" t="n"/>
      <c r="C272" s="51" t="n"/>
      <c r="D272" s="51" t="n"/>
      <c r="E272" s="52" t="n"/>
    </row>
    <row r="273" ht="14.25" customHeight="1" s="96">
      <c r="A273" s="51" t="n"/>
      <c r="B273" s="51" t="n"/>
      <c r="C273" s="51" t="n"/>
      <c r="D273" s="51" t="n"/>
      <c r="E273" s="52" t="n"/>
    </row>
    <row r="274" ht="14.25" customHeight="1" s="96">
      <c r="A274" s="51" t="n"/>
      <c r="B274" s="51" t="n"/>
      <c r="C274" s="51" t="n"/>
      <c r="D274" s="51" t="n"/>
      <c r="E274" s="52" t="n"/>
    </row>
    <row r="275" ht="14.25" customHeight="1" s="96">
      <c r="A275" s="51" t="n"/>
      <c r="B275" s="51" t="n"/>
      <c r="C275" s="51" t="n"/>
      <c r="D275" s="51" t="n"/>
      <c r="E275" s="52" t="n"/>
    </row>
    <row r="276" ht="14.25" customHeight="1" s="96">
      <c r="A276" s="51" t="n"/>
      <c r="B276" s="51" t="n"/>
      <c r="C276" s="51" t="n"/>
      <c r="D276" s="51" t="n"/>
      <c r="E276" s="52" t="n"/>
    </row>
    <row r="277" ht="14.25" customHeight="1" s="96">
      <c r="A277" s="51" t="n"/>
      <c r="B277" s="51" t="n"/>
      <c r="C277" s="51" t="n"/>
      <c r="D277" s="51" t="n"/>
      <c r="E277" s="52" t="n"/>
    </row>
    <row r="278" ht="14.25" customHeight="1" s="96">
      <c r="A278" s="51" t="n"/>
      <c r="B278" s="51" t="n"/>
      <c r="C278" s="51" t="n"/>
      <c r="D278" s="51" t="n"/>
      <c r="E278" s="52" t="n"/>
    </row>
    <row r="279" ht="14.25" customHeight="1" s="96">
      <c r="A279" s="51" t="n"/>
      <c r="B279" s="51" t="n"/>
      <c r="C279" s="51" t="n"/>
      <c r="D279" s="51" t="n"/>
      <c r="E279" s="52" t="n"/>
    </row>
    <row r="280" ht="14.25" customHeight="1" s="96">
      <c r="A280" s="51" t="n"/>
      <c r="B280" s="51" t="n"/>
      <c r="C280" s="51" t="n"/>
      <c r="D280" s="51" t="n"/>
      <c r="E280" s="52" t="n"/>
    </row>
    <row r="281" ht="14.25" customHeight="1" s="96">
      <c r="A281" s="51" t="n"/>
      <c r="B281" s="51" t="n"/>
      <c r="C281" s="51" t="n"/>
      <c r="D281" s="51" t="n"/>
      <c r="E281" s="52" t="n"/>
    </row>
    <row r="282" ht="14.25" customHeight="1" s="96">
      <c r="A282" s="51" t="n"/>
      <c r="B282" s="51" t="n"/>
      <c r="C282" s="51" t="n"/>
      <c r="D282" s="51" t="n"/>
      <c r="E282" s="52" t="n"/>
    </row>
    <row r="283" ht="14.25" customHeight="1" s="96">
      <c r="A283" s="51" t="n"/>
      <c r="B283" s="51" t="n"/>
      <c r="C283" s="51" t="n"/>
      <c r="D283" s="51" t="n"/>
      <c r="E283" s="52" t="n"/>
    </row>
    <row r="284" ht="14.25" customHeight="1" s="96">
      <c r="A284" s="51" t="n"/>
      <c r="B284" s="51" t="n"/>
      <c r="C284" s="51" t="n"/>
      <c r="D284" s="51" t="n"/>
      <c r="E284" s="52" t="n"/>
    </row>
    <row r="285" ht="14.25" customHeight="1" s="96">
      <c r="A285" s="51" t="n"/>
      <c r="B285" s="51" t="n"/>
      <c r="C285" s="51" t="n"/>
      <c r="D285" s="51" t="n"/>
      <c r="E285" s="52" t="n"/>
    </row>
    <row r="286" ht="14.25" customHeight="1" s="96">
      <c r="A286" s="51" t="n"/>
      <c r="B286" s="51" t="n"/>
      <c r="C286" s="51" t="n"/>
      <c r="D286" s="51" t="n"/>
      <c r="E286" s="52" t="n"/>
    </row>
    <row r="287" ht="14.25" customHeight="1" s="96">
      <c r="A287" s="51" t="n"/>
      <c r="B287" s="51" t="n"/>
      <c r="C287" s="51" t="n"/>
      <c r="D287" s="51" t="n"/>
      <c r="E287" s="52" t="n"/>
    </row>
    <row r="288" ht="14.25" customHeight="1" s="96">
      <c r="A288" s="51" t="n"/>
      <c r="B288" s="51" t="n"/>
      <c r="C288" s="51" t="n"/>
      <c r="D288" s="51" t="n"/>
      <c r="E288" s="52" t="n"/>
    </row>
    <row r="289" ht="14.25" customHeight="1" s="96">
      <c r="A289" s="51" t="n"/>
      <c r="B289" s="51" t="n"/>
      <c r="C289" s="51" t="n"/>
      <c r="D289" s="51" t="n"/>
      <c r="E289" s="52" t="n"/>
    </row>
    <row r="290" ht="14.25" customHeight="1" s="96">
      <c r="A290" s="51" t="n"/>
      <c r="B290" s="51" t="n"/>
      <c r="C290" s="51" t="n"/>
      <c r="D290" s="51" t="n"/>
      <c r="E290" s="52" t="n"/>
    </row>
    <row r="291" ht="14.25" customHeight="1" s="96">
      <c r="A291" s="51" t="n"/>
      <c r="B291" s="51" t="n"/>
      <c r="C291" s="51" t="n"/>
      <c r="D291" s="51" t="n"/>
      <c r="E291" s="52" t="n"/>
    </row>
    <row r="292" ht="14.25" customHeight="1" s="96">
      <c r="A292" s="51" t="n"/>
      <c r="B292" s="51" t="n"/>
      <c r="C292" s="51" t="n"/>
      <c r="D292" s="51" t="n"/>
      <c r="E292" s="52" t="n"/>
    </row>
    <row r="293" ht="14.25" customHeight="1" s="96">
      <c r="A293" s="51" t="n"/>
      <c r="B293" s="51" t="n"/>
      <c r="C293" s="51" t="n"/>
      <c r="D293" s="51" t="n"/>
      <c r="E293" s="52" t="n"/>
    </row>
    <row r="294" ht="14.25" customHeight="1" s="96">
      <c r="A294" s="51" t="n"/>
      <c r="B294" s="51" t="n"/>
      <c r="C294" s="51" t="n"/>
      <c r="D294" s="51" t="n"/>
      <c r="E294" s="52" t="n"/>
    </row>
    <row r="295" ht="14.25" customHeight="1" s="96">
      <c r="A295" s="51" t="n"/>
      <c r="B295" s="51" t="n"/>
      <c r="C295" s="51" t="n"/>
      <c r="D295" s="51" t="n"/>
      <c r="E295" s="52" t="n"/>
    </row>
    <row r="296" ht="14.25" customHeight="1" s="96">
      <c r="A296" s="51" t="n"/>
      <c r="B296" s="51" t="n"/>
      <c r="C296" s="51" t="n"/>
      <c r="D296" s="51" t="n"/>
      <c r="E296" s="52" t="n"/>
    </row>
    <row r="297" ht="14.25" customHeight="1" s="96">
      <c r="A297" s="51" t="n"/>
      <c r="B297" s="51" t="n"/>
      <c r="C297" s="51" t="n"/>
      <c r="D297" s="51" t="n"/>
      <c r="E297" s="52" t="n"/>
    </row>
    <row r="298" ht="14.25" customHeight="1" s="96">
      <c r="A298" s="51" t="n"/>
      <c r="B298" s="51" t="n"/>
      <c r="C298" s="51" t="n"/>
      <c r="D298" s="51" t="n"/>
      <c r="E298" s="52" t="n"/>
    </row>
    <row r="299" ht="14.25" customHeight="1" s="96">
      <c r="A299" s="51" t="n"/>
      <c r="B299" s="51" t="n"/>
      <c r="C299" s="51" t="n"/>
      <c r="D299" s="51" t="n"/>
      <c r="E299" s="52" t="n"/>
    </row>
    <row r="300" ht="14.25" customHeight="1" s="96">
      <c r="A300" s="51" t="n"/>
      <c r="B300" s="51" t="n"/>
      <c r="C300" s="51" t="n"/>
      <c r="D300" s="51" t="n"/>
      <c r="E300" s="52" t="n"/>
    </row>
    <row r="301" ht="14.25" customHeight="1" s="96">
      <c r="A301" s="51" t="n"/>
      <c r="B301" s="51" t="n"/>
      <c r="C301" s="51" t="n"/>
      <c r="D301" s="51" t="n"/>
      <c r="E301" s="52" t="n"/>
    </row>
    <row r="302" ht="14.25" customHeight="1" s="96">
      <c r="A302" s="51" t="n"/>
      <c r="B302" s="51" t="n"/>
      <c r="C302" s="51" t="n"/>
      <c r="D302" s="51" t="n"/>
      <c r="E302" s="52" t="n"/>
    </row>
    <row r="303" ht="14.25" customHeight="1" s="96">
      <c r="A303" s="51" t="n"/>
      <c r="B303" s="51" t="n"/>
      <c r="C303" s="51" t="n"/>
      <c r="D303" s="51" t="n"/>
      <c r="E303" s="52" t="n"/>
    </row>
    <row r="304" ht="14.25" customHeight="1" s="96">
      <c r="A304" s="51" t="n"/>
      <c r="B304" s="51" t="n"/>
      <c r="C304" s="51" t="n"/>
      <c r="D304" s="51" t="n"/>
      <c r="E304" s="52" t="n"/>
    </row>
    <row r="305" ht="14.25" customHeight="1" s="96">
      <c r="A305" s="51" t="n"/>
      <c r="B305" s="51" t="n"/>
      <c r="C305" s="51" t="n"/>
      <c r="D305" s="51" t="n"/>
      <c r="E305" s="52" t="n"/>
    </row>
    <row r="306" ht="14.25" customHeight="1" s="96">
      <c r="A306" s="51" t="n"/>
      <c r="B306" s="51" t="n"/>
      <c r="C306" s="51" t="n"/>
      <c r="D306" s="51" t="n"/>
      <c r="E306" s="52" t="n"/>
    </row>
    <row r="307" ht="14.25" customHeight="1" s="96">
      <c r="A307" s="51" t="n"/>
      <c r="B307" s="51" t="n"/>
      <c r="C307" s="51" t="n"/>
      <c r="D307" s="51" t="n"/>
      <c r="E307" s="52" t="n"/>
    </row>
    <row r="308" ht="14.25" customHeight="1" s="96">
      <c r="A308" s="51" t="n"/>
      <c r="B308" s="51" t="n"/>
      <c r="C308" s="51" t="n"/>
      <c r="D308" s="51" t="n"/>
      <c r="E308" s="52" t="n"/>
    </row>
    <row r="309" ht="14.25" customHeight="1" s="96">
      <c r="A309" s="51" t="n"/>
      <c r="B309" s="51" t="n"/>
      <c r="C309" s="51" t="n"/>
      <c r="D309" s="51" t="n"/>
      <c r="E309" s="52" t="n"/>
    </row>
    <row r="310" ht="14.25" customHeight="1" s="96">
      <c r="A310" s="51" t="n"/>
      <c r="B310" s="51" t="n"/>
      <c r="C310" s="51" t="n"/>
      <c r="D310" s="51" t="n"/>
      <c r="E310" s="52" t="n"/>
    </row>
    <row r="311" ht="14.25" customHeight="1" s="96">
      <c r="A311" s="51" t="n"/>
      <c r="B311" s="51" t="n"/>
      <c r="C311" s="51" t="n"/>
      <c r="D311" s="51" t="n"/>
      <c r="E311" s="52" t="n"/>
    </row>
    <row r="312" ht="14.25" customHeight="1" s="96">
      <c r="A312" s="51" t="n"/>
      <c r="B312" s="51" t="n"/>
      <c r="C312" s="51" t="n"/>
      <c r="D312" s="51" t="n"/>
      <c r="E312" s="52" t="n"/>
    </row>
    <row r="313" ht="14.25" customHeight="1" s="96">
      <c r="A313" s="51" t="n"/>
      <c r="B313" s="51" t="n"/>
      <c r="C313" s="51" t="n"/>
      <c r="D313" s="51" t="n"/>
      <c r="E313" s="52" t="n"/>
    </row>
    <row r="314" ht="14.25" customHeight="1" s="96">
      <c r="A314" s="51" t="n"/>
      <c r="B314" s="51" t="n"/>
      <c r="C314" s="51" t="n"/>
      <c r="D314" s="51" t="n"/>
      <c r="E314" s="52" t="n"/>
    </row>
    <row r="315" ht="14.25" customHeight="1" s="96">
      <c r="A315" s="51" t="n"/>
      <c r="B315" s="51" t="n"/>
      <c r="C315" s="51" t="n"/>
      <c r="D315" s="51" t="n"/>
      <c r="E315" s="52" t="n"/>
    </row>
    <row r="316" ht="14.25" customHeight="1" s="96">
      <c r="A316" s="51" t="n"/>
      <c r="B316" s="51" t="n"/>
      <c r="C316" s="51" t="n"/>
      <c r="D316" s="51" t="n"/>
      <c r="E316" s="52" t="n"/>
    </row>
    <row r="317" ht="14.25" customHeight="1" s="96">
      <c r="A317" s="51" t="n"/>
      <c r="B317" s="51" t="n"/>
      <c r="C317" s="51" t="n"/>
      <c r="D317" s="51" t="n"/>
      <c r="E317" s="52" t="n"/>
    </row>
    <row r="318" ht="14.25" customHeight="1" s="96">
      <c r="A318" s="51" t="n"/>
      <c r="B318" s="51" t="n"/>
      <c r="C318" s="51" t="n"/>
      <c r="D318" s="51" t="n"/>
      <c r="E318" s="52" t="n"/>
    </row>
    <row r="319" ht="14.25" customHeight="1" s="96">
      <c r="A319" s="51" t="n"/>
      <c r="B319" s="51" t="n"/>
      <c r="C319" s="51" t="n"/>
      <c r="D319" s="51" t="n"/>
      <c r="E319" s="52" t="n"/>
    </row>
    <row r="320" ht="14.25" customHeight="1" s="96">
      <c r="A320" s="51" t="n"/>
      <c r="B320" s="51" t="n"/>
      <c r="C320" s="51" t="n"/>
      <c r="D320" s="51" t="n"/>
      <c r="E320" s="52" t="n"/>
    </row>
    <row r="321" ht="14.25" customHeight="1" s="96">
      <c r="A321" s="51" t="n"/>
      <c r="B321" s="51" t="n"/>
      <c r="C321" s="51" t="n"/>
      <c r="D321" s="51" t="n"/>
      <c r="E321" s="52" t="n"/>
    </row>
    <row r="322" ht="14.25" customHeight="1" s="96">
      <c r="A322" s="51" t="n"/>
      <c r="B322" s="51" t="n"/>
      <c r="C322" s="51" t="n"/>
      <c r="D322" s="51" t="n"/>
      <c r="E322" s="52" t="n"/>
    </row>
    <row r="323" ht="14.25" customHeight="1" s="96">
      <c r="A323" s="51" t="n"/>
      <c r="B323" s="51" t="n"/>
      <c r="C323" s="51" t="n"/>
      <c r="D323" s="51" t="n"/>
      <c r="E323" s="52" t="n"/>
    </row>
    <row r="324" ht="14.25" customHeight="1" s="96">
      <c r="A324" s="51" t="n"/>
      <c r="B324" s="51" t="n"/>
      <c r="C324" s="51" t="n"/>
      <c r="D324" s="51" t="n"/>
      <c r="E324" s="52" t="n"/>
    </row>
    <row r="325" ht="14.25" customHeight="1" s="96">
      <c r="A325" s="51" t="n"/>
      <c r="B325" s="51" t="n"/>
      <c r="C325" s="51" t="n"/>
      <c r="D325" s="51" t="n"/>
      <c r="E325" s="52" t="n"/>
    </row>
    <row r="326" ht="14.25" customHeight="1" s="96">
      <c r="A326" s="51" t="n"/>
      <c r="B326" s="51" t="n"/>
      <c r="C326" s="51" t="n"/>
      <c r="D326" s="51" t="n"/>
      <c r="E326" s="52" t="n"/>
    </row>
    <row r="327" ht="14.25" customHeight="1" s="96">
      <c r="A327" s="51" t="n"/>
      <c r="B327" s="51" t="n"/>
      <c r="C327" s="51" t="n"/>
      <c r="D327" s="51" t="n"/>
      <c r="E327" s="52" t="n"/>
    </row>
    <row r="328" ht="14.25" customHeight="1" s="96">
      <c r="A328" s="51" t="n"/>
      <c r="B328" s="51" t="n"/>
      <c r="C328" s="51" t="n"/>
      <c r="D328" s="51" t="n"/>
      <c r="E328" s="52" t="n"/>
    </row>
    <row r="329" ht="14.25" customHeight="1" s="96">
      <c r="A329" s="51" t="n"/>
      <c r="B329" s="51" t="n"/>
      <c r="C329" s="51" t="n"/>
      <c r="D329" s="51" t="n"/>
      <c r="E329" s="52" t="n"/>
    </row>
    <row r="330" ht="14.25" customHeight="1" s="96">
      <c r="A330" s="51" t="n"/>
      <c r="B330" s="51" t="n"/>
      <c r="C330" s="51" t="n"/>
      <c r="D330" s="51" t="n"/>
      <c r="E330" s="52" t="n"/>
    </row>
    <row r="331" ht="14.25" customHeight="1" s="96">
      <c r="A331" s="51" t="n"/>
      <c r="B331" s="51" t="n"/>
      <c r="C331" s="51" t="n"/>
      <c r="D331" s="51" t="n"/>
      <c r="E331" s="52" t="n"/>
    </row>
    <row r="332" ht="14.25" customHeight="1" s="96">
      <c r="A332" s="51" t="n"/>
      <c r="B332" s="51" t="n"/>
      <c r="C332" s="51" t="n"/>
      <c r="D332" s="51" t="n"/>
      <c r="E332" s="52" t="n"/>
    </row>
    <row r="333" ht="14.25" customHeight="1" s="96">
      <c r="A333" s="51" t="n"/>
      <c r="B333" s="51" t="n"/>
      <c r="C333" s="51" t="n"/>
      <c r="D333" s="51" t="n"/>
      <c r="E333" s="52" t="n"/>
    </row>
    <row r="334" ht="14.25" customHeight="1" s="96">
      <c r="A334" s="51" t="n"/>
      <c r="B334" s="51" t="n"/>
      <c r="C334" s="51" t="n"/>
      <c r="D334" s="51" t="n"/>
      <c r="E334" s="52" t="n"/>
    </row>
    <row r="335" ht="14.25" customHeight="1" s="96">
      <c r="A335" s="51" t="n"/>
      <c r="B335" s="51" t="n"/>
      <c r="C335" s="51" t="n"/>
      <c r="D335" s="51" t="n"/>
      <c r="E335" s="52" t="n"/>
    </row>
    <row r="336" ht="14.25" customHeight="1" s="96">
      <c r="A336" s="51" t="n"/>
      <c r="B336" s="51" t="n"/>
      <c r="C336" s="51" t="n"/>
      <c r="D336" s="51" t="n"/>
      <c r="E336" s="52" t="n"/>
    </row>
    <row r="337" ht="14.25" customHeight="1" s="96">
      <c r="A337" s="51" t="n"/>
      <c r="B337" s="51" t="n"/>
      <c r="C337" s="51" t="n"/>
      <c r="D337" s="51" t="n"/>
      <c r="E337" s="52" t="n"/>
    </row>
    <row r="338" ht="14.25" customHeight="1" s="96">
      <c r="A338" s="51" t="n"/>
      <c r="B338" s="51" t="n"/>
      <c r="C338" s="51" t="n"/>
      <c r="D338" s="51" t="n"/>
      <c r="E338" s="52" t="n"/>
    </row>
    <row r="339" ht="14.25" customHeight="1" s="96">
      <c r="A339" s="51" t="n"/>
      <c r="B339" s="51" t="n"/>
      <c r="C339" s="51" t="n"/>
      <c r="D339" s="51" t="n"/>
      <c r="E339" s="52" t="n"/>
    </row>
    <row r="340" ht="14.25" customHeight="1" s="96">
      <c r="A340" s="51" t="n"/>
      <c r="B340" s="51" t="n"/>
      <c r="C340" s="51" t="n"/>
      <c r="D340" s="51" t="n"/>
      <c r="E340" s="52" t="n"/>
    </row>
    <row r="341" ht="14.25" customHeight="1" s="96">
      <c r="A341" s="51" t="n"/>
      <c r="B341" s="51" t="n"/>
      <c r="C341" s="51" t="n"/>
      <c r="D341" s="51" t="n"/>
      <c r="E341" s="52" t="n"/>
    </row>
    <row r="342" ht="14.25" customHeight="1" s="96">
      <c r="A342" s="51" t="n"/>
      <c r="B342" s="51" t="n"/>
      <c r="C342" s="51" t="n"/>
      <c r="D342" s="51" t="n"/>
      <c r="E342" s="52" t="n"/>
    </row>
    <row r="343" ht="14.25" customHeight="1" s="96">
      <c r="A343" s="51" t="n"/>
      <c r="B343" s="51" t="n"/>
      <c r="C343" s="51" t="n"/>
      <c r="D343" s="51" t="n"/>
      <c r="E343" s="52" t="n"/>
    </row>
    <row r="344" ht="14.25" customHeight="1" s="96">
      <c r="A344" s="51" t="n"/>
      <c r="B344" s="51" t="n"/>
      <c r="C344" s="51" t="n"/>
      <c r="D344" s="51" t="n"/>
      <c r="E344" s="52" t="n"/>
    </row>
    <row r="345" ht="14.25" customHeight="1" s="96">
      <c r="A345" s="51" t="n"/>
      <c r="B345" s="51" t="n"/>
      <c r="C345" s="51" t="n"/>
      <c r="D345" s="51" t="n"/>
      <c r="E345" s="52" t="n"/>
    </row>
    <row r="346" ht="14.25" customHeight="1" s="96">
      <c r="A346" s="51" t="n"/>
      <c r="B346" s="51" t="n"/>
      <c r="C346" s="51" t="n"/>
      <c r="D346" s="51" t="n"/>
      <c r="E346" s="52" t="n"/>
    </row>
    <row r="347" ht="14.25" customHeight="1" s="96">
      <c r="A347" s="51" t="n"/>
      <c r="B347" s="51" t="n"/>
      <c r="C347" s="51" t="n"/>
      <c r="D347" s="51" t="n"/>
      <c r="E347" s="52" t="n"/>
    </row>
    <row r="348" ht="14.25" customHeight="1" s="96">
      <c r="A348" s="51" t="n"/>
      <c r="B348" s="51" t="n"/>
      <c r="C348" s="51" t="n"/>
      <c r="D348" s="51" t="n"/>
      <c r="E348" s="52" t="n"/>
    </row>
    <row r="349" ht="14.25" customHeight="1" s="96">
      <c r="A349" s="51" t="n"/>
      <c r="B349" s="51" t="n"/>
      <c r="C349" s="51" t="n"/>
      <c r="D349" s="51" t="n"/>
      <c r="E349" s="52" t="n"/>
    </row>
    <row r="350" ht="14.25" customHeight="1" s="96">
      <c r="A350" s="51" t="n"/>
      <c r="B350" s="51" t="n"/>
      <c r="C350" s="51" t="n"/>
      <c r="D350" s="51" t="n"/>
      <c r="E350" s="52" t="n"/>
    </row>
    <row r="351" ht="14.25" customHeight="1" s="96">
      <c r="A351" s="51" t="n"/>
      <c r="B351" s="51" t="n"/>
      <c r="C351" s="51" t="n"/>
      <c r="D351" s="51" t="n"/>
      <c r="E351" s="52" t="n"/>
    </row>
    <row r="352" ht="14.25" customHeight="1" s="96">
      <c r="A352" s="51" t="n"/>
      <c r="B352" s="51" t="n"/>
      <c r="C352" s="51" t="n"/>
      <c r="D352" s="51" t="n"/>
      <c r="E352" s="52" t="n"/>
    </row>
    <row r="353" ht="14.25" customHeight="1" s="96">
      <c r="A353" s="51" t="n"/>
      <c r="B353" s="51" t="n"/>
      <c r="C353" s="51" t="n"/>
      <c r="D353" s="51" t="n"/>
      <c r="E353" s="52" t="n"/>
    </row>
    <row r="354" ht="14.25" customHeight="1" s="96">
      <c r="A354" s="51" t="n"/>
      <c r="B354" s="51" t="n"/>
      <c r="C354" s="51" t="n"/>
      <c r="D354" s="51" t="n"/>
      <c r="E354" s="52" t="n"/>
    </row>
    <row r="355" ht="14.25" customHeight="1" s="96">
      <c r="A355" s="51" t="n"/>
      <c r="B355" s="51" t="n"/>
      <c r="C355" s="51" t="n"/>
      <c r="D355" s="51" t="n"/>
      <c r="E355" s="52" t="n"/>
    </row>
    <row r="356" ht="14.25" customHeight="1" s="96">
      <c r="A356" s="51" t="n"/>
      <c r="B356" s="51" t="n"/>
      <c r="C356" s="51" t="n"/>
      <c r="D356" s="51" t="n"/>
      <c r="E356" s="52" t="n"/>
    </row>
    <row r="357" ht="14.25" customHeight="1" s="96">
      <c r="A357" s="51" t="n"/>
      <c r="B357" s="51" t="n"/>
      <c r="C357" s="51" t="n"/>
      <c r="D357" s="51" t="n"/>
      <c r="E357" s="52" t="n"/>
    </row>
    <row r="358" ht="14.25" customHeight="1" s="96">
      <c r="A358" s="51" t="n"/>
      <c r="B358" s="51" t="n"/>
      <c r="C358" s="51" t="n"/>
      <c r="D358" s="51" t="n"/>
      <c r="E358" s="52" t="n"/>
    </row>
    <row r="359" ht="14.25" customHeight="1" s="96">
      <c r="A359" s="51" t="n"/>
      <c r="B359" s="51" t="n"/>
      <c r="C359" s="51" t="n"/>
      <c r="D359" s="51" t="n"/>
      <c r="E359" s="52" t="n"/>
    </row>
    <row r="360" ht="14.25" customHeight="1" s="96">
      <c r="A360" s="51" t="n"/>
      <c r="B360" s="51" t="n"/>
      <c r="C360" s="51" t="n"/>
      <c r="D360" s="51" t="n"/>
      <c r="E360" s="52" t="n"/>
    </row>
    <row r="361" ht="14.25" customHeight="1" s="96">
      <c r="A361" s="51" t="n"/>
      <c r="B361" s="51" t="n"/>
      <c r="C361" s="51" t="n"/>
      <c r="D361" s="51" t="n"/>
      <c r="E361" s="52" t="n"/>
    </row>
    <row r="362" ht="14.25" customHeight="1" s="96">
      <c r="A362" s="51" t="n"/>
      <c r="B362" s="51" t="n"/>
      <c r="C362" s="51" t="n"/>
      <c r="D362" s="51" t="n"/>
      <c r="E362" s="52" t="n"/>
    </row>
    <row r="363" ht="14.25" customHeight="1" s="96">
      <c r="A363" s="51" t="n"/>
      <c r="B363" s="51" t="n"/>
      <c r="C363" s="51" t="n"/>
      <c r="D363" s="51" t="n"/>
      <c r="E363" s="52" t="n"/>
    </row>
    <row r="364" ht="14.25" customHeight="1" s="96">
      <c r="A364" s="51" t="n"/>
      <c r="B364" s="51" t="n"/>
      <c r="C364" s="51" t="n"/>
      <c r="D364" s="51" t="n"/>
      <c r="E364" s="52" t="n"/>
    </row>
    <row r="365" ht="14.25" customHeight="1" s="96">
      <c r="A365" s="51" t="n"/>
      <c r="B365" s="51" t="n"/>
      <c r="C365" s="51" t="n"/>
      <c r="D365" s="51" t="n"/>
      <c r="E365" s="52" t="n"/>
    </row>
    <row r="366" ht="14.25" customHeight="1" s="96">
      <c r="A366" s="51" t="n"/>
      <c r="B366" s="51" t="n"/>
      <c r="C366" s="51" t="n"/>
      <c r="D366" s="51" t="n"/>
      <c r="E366" s="52" t="n"/>
    </row>
    <row r="367" ht="14.25" customHeight="1" s="96">
      <c r="A367" s="51" t="n"/>
      <c r="B367" s="51" t="n"/>
      <c r="C367" s="51" t="n"/>
      <c r="D367" s="51" t="n"/>
      <c r="E367" s="52" t="n"/>
    </row>
    <row r="368" ht="14.25" customHeight="1" s="96">
      <c r="A368" s="51" t="n"/>
      <c r="B368" s="51" t="n"/>
      <c r="C368" s="51" t="n"/>
      <c r="D368" s="51" t="n"/>
      <c r="E368" s="52" t="n"/>
    </row>
    <row r="369" ht="14.25" customHeight="1" s="96">
      <c r="A369" s="51" t="n"/>
      <c r="B369" s="51" t="n"/>
      <c r="C369" s="51" t="n"/>
      <c r="D369" s="51" t="n"/>
      <c r="E369" s="52" t="n"/>
    </row>
    <row r="370" ht="14.25" customHeight="1" s="96">
      <c r="A370" s="51" t="n"/>
      <c r="B370" s="51" t="n"/>
      <c r="C370" s="51" t="n"/>
      <c r="D370" s="51" t="n"/>
      <c r="E370" s="52" t="n"/>
    </row>
    <row r="371" ht="14.25" customHeight="1" s="96">
      <c r="A371" s="51" t="n"/>
      <c r="B371" s="51" t="n"/>
      <c r="C371" s="51" t="n"/>
      <c r="D371" s="51" t="n"/>
      <c r="E371" s="52" t="n"/>
    </row>
    <row r="372" ht="14.25" customHeight="1" s="96">
      <c r="A372" s="51" t="n"/>
      <c r="B372" s="51" t="n"/>
      <c r="C372" s="51" t="n"/>
      <c r="D372" s="51" t="n"/>
      <c r="E372" s="52" t="n"/>
    </row>
    <row r="373" ht="14.25" customHeight="1" s="96">
      <c r="A373" s="51" t="n"/>
      <c r="B373" s="51" t="n"/>
      <c r="C373" s="51" t="n"/>
      <c r="D373" s="51" t="n"/>
      <c r="E373" s="52" t="n"/>
    </row>
    <row r="374" ht="14.25" customHeight="1" s="96">
      <c r="A374" s="51" t="n"/>
      <c r="B374" s="51" t="n"/>
      <c r="C374" s="51" t="n"/>
      <c r="D374" s="51" t="n"/>
      <c r="E374" s="52" t="n"/>
    </row>
    <row r="375" ht="14.25" customHeight="1" s="96">
      <c r="A375" s="51" t="n"/>
      <c r="B375" s="51" t="n"/>
      <c r="C375" s="51" t="n"/>
      <c r="D375" s="51" t="n"/>
      <c r="E375" s="52" t="n"/>
    </row>
    <row r="376" ht="14.25" customHeight="1" s="96">
      <c r="A376" s="51" t="n"/>
      <c r="B376" s="51" t="n"/>
      <c r="C376" s="51" t="n"/>
      <c r="D376" s="51" t="n"/>
      <c r="E376" s="52" t="n"/>
    </row>
    <row r="377" ht="14.25" customHeight="1" s="96">
      <c r="A377" s="51" t="n"/>
      <c r="B377" s="51" t="n"/>
      <c r="C377" s="51" t="n"/>
      <c r="D377" s="51" t="n"/>
      <c r="E377" s="52" t="n"/>
    </row>
    <row r="378" ht="14.25" customHeight="1" s="96">
      <c r="A378" s="51" t="n"/>
      <c r="B378" s="51" t="n"/>
      <c r="C378" s="51" t="n"/>
      <c r="D378" s="51" t="n"/>
      <c r="E378" s="52" t="n"/>
    </row>
    <row r="379" ht="14.25" customHeight="1" s="96">
      <c r="A379" s="51" t="n"/>
      <c r="B379" s="51" t="n"/>
      <c r="C379" s="51" t="n"/>
      <c r="D379" s="51" t="n"/>
      <c r="E379" s="52" t="n"/>
    </row>
    <row r="380" ht="14.25" customHeight="1" s="96">
      <c r="A380" s="51" t="n"/>
      <c r="B380" s="51" t="n"/>
      <c r="C380" s="51" t="n"/>
      <c r="D380" s="51" t="n"/>
      <c r="E380" s="52" t="n"/>
    </row>
    <row r="381" ht="14.25" customHeight="1" s="96">
      <c r="A381" s="51" t="n"/>
      <c r="B381" s="51" t="n"/>
      <c r="C381" s="51" t="n"/>
      <c r="D381" s="51" t="n"/>
      <c r="E381" s="52" t="n"/>
    </row>
    <row r="382" ht="14.25" customHeight="1" s="96">
      <c r="A382" s="51" t="n"/>
      <c r="B382" s="51" t="n"/>
      <c r="C382" s="51" t="n"/>
      <c r="D382" s="51" t="n"/>
      <c r="E382" s="52" t="n"/>
    </row>
    <row r="383" ht="14.25" customHeight="1" s="96">
      <c r="A383" s="51" t="n"/>
      <c r="B383" s="51" t="n"/>
      <c r="C383" s="51" t="n"/>
      <c r="D383" s="51" t="n"/>
      <c r="E383" s="52" t="n"/>
    </row>
    <row r="384" ht="14.25" customHeight="1" s="96">
      <c r="A384" s="51" t="n"/>
      <c r="B384" s="51" t="n"/>
      <c r="C384" s="51" t="n"/>
      <c r="D384" s="51" t="n"/>
      <c r="E384" s="52" t="n"/>
    </row>
    <row r="385" ht="14.25" customHeight="1" s="96">
      <c r="A385" s="51" t="n"/>
      <c r="B385" s="51" t="n"/>
      <c r="C385" s="51" t="n"/>
      <c r="D385" s="51" t="n"/>
      <c r="E385" s="52" t="n"/>
    </row>
    <row r="386" ht="14.25" customHeight="1" s="96">
      <c r="A386" s="51" t="n"/>
      <c r="B386" s="51" t="n"/>
      <c r="C386" s="51" t="n"/>
      <c r="D386" s="51" t="n"/>
      <c r="E386" s="52" t="n"/>
    </row>
    <row r="387" ht="14.25" customHeight="1" s="96">
      <c r="A387" s="51" t="n"/>
      <c r="B387" s="51" t="n"/>
      <c r="C387" s="51" t="n"/>
      <c r="D387" s="51" t="n"/>
      <c r="E387" s="52" t="n"/>
    </row>
    <row r="388" ht="14.25" customHeight="1" s="96">
      <c r="A388" s="51" t="n"/>
      <c r="B388" s="51" t="n"/>
      <c r="C388" s="51" t="n"/>
      <c r="D388" s="51" t="n"/>
      <c r="E388" s="52" t="n"/>
    </row>
    <row r="389" ht="14.25" customHeight="1" s="96">
      <c r="A389" s="51" t="n"/>
      <c r="B389" s="51" t="n"/>
      <c r="C389" s="51" t="n"/>
      <c r="D389" s="51" t="n"/>
      <c r="E389" s="52" t="n"/>
    </row>
    <row r="390" ht="14.25" customHeight="1" s="96">
      <c r="A390" s="51" t="n"/>
      <c r="B390" s="51" t="n"/>
      <c r="C390" s="51" t="n"/>
      <c r="D390" s="51" t="n"/>
      <c r="E390" s="52" t="n"/>
    </row>
    <row r="391" ht="14.25" customHeight="1" s="96">
      <c r="A391" s="51" t="n"/>
      <c r="B391" s="51" t="n"/>
      <c r="C391" s="51" t="n"/>
      <c r="D391" s="51" t="n"/>
      <c r="E391" s="52" t="n"/>
    </row>
    <row r="392" ht="14.25" customHeight="1" s="96">
      <c r="A392" s="51" t="n"/>
      <c r="B392" s="51" t="n"/>
      <c r="C392" s="51" t="n"/>
      <c r="D392" s="51" t="n"/>
      <c r="E392" s="52" t="n"/>
    </row>
    <row r="393" ht="14.25" customHeight="1" s="96">
      <c r="A393" s="51" t="n"/>
      <c r="B393" s="51" t="n"/>
      <c r="C393" s="51" t="n"/>
      <c r="D393" s="51" t="n"/>
      <c r="E393" s="52" t="n"/>
    </row>
    <row r="394" ht="14.25" customHeight="1" s="96">
      <c r="A394" s="51" t="n"/>
      <c r="B394" s="51" t="n"/>
      <c r="C394" s="51" t="n"/>
      <c r="D394" s="51" t="n"/>
      <c r="E394" s="52" t="n"/>
    </row>
    <row r="395" ht="14.25" customHeight="1" s="96">
      <c r="A395" s="51" t="n"/>
      <c r="B395" s="51" t="n"/>
      <c r="C395" s="51" t="n"/>
      <c r="D395" s="51" t="n"/>
      <c r="E395" s="52" t="n"/>
    </row>
    <row r="396" ht="14.25" customHeight="1" s="96">
      <c r="A396" s="51" t="n"/>
      <c r="B396" s="51" t="n"/>
      <c r="C396" s="51" t="n"/>
      <c r="D396" s="51" t="n"/>
      <c r="E396" s="52" t="n"/>
    </row>
    <row r="397" ht="14.25" customHeight="1" s="96">
      <c r="A397" s="51" t="n"/>
      <c r="B397" s="51" t="n"/>
      <c r="C397" s="51" t="n"/>
      <c r="D397" s="51" t="n"/>
      <c r="E397" s="52" t="n"/>
    </row>
    <row r="398" ht="14.25" customHeight="1" s="96">
      <c r="A398" s="51" t="n"/>
      <c r="B398" s="51" t="n"/>
      <c r="C398" s="51" t="n"/>
      <c r="D398" s="51" t="n"/>
      <c r="E398" s="52" t="n"/>
    </row>
    <row r="399" ht="14.25" customHeight="1" s="96">
      <c r="A399" s="51" t="n"/>
      <c r="B399" s="51" t="n"/>
      <c r="C399" s="51" t="n"/>
      <c r="D399" s="51" t="n"/>
      <c r="E399" s="52" t="n"/>
    </row>
    <row r="400" ht="14.25" customHeight="1" s="96">
      <c r="A400" s="51" t="n"/>
      <c r="B400" s="51" t="n"/>
      <c r="C400" s="51" t="n"/>
      <c r="D400" s="51" t="n"/>
      <c r="E400" s="52" t="n"/>
    </row>
    <row r="401" ht="14.25" customHeight="1" s="96">
      <c r="A401" s="51" t="n"/>
      <c r="B401" s="51" t="n"/>
      <c r="C401" s="51" t="n"/>
      <c r="D401" s="51" t="n"/>
      <c r="E401" s="52" t="n"/>
    </row>
    <row r="402" ht="14.25" customHeight="1" s="96">
      <c r="A402" s="51" t="n"/>
      <c r="B402" s="51" t="n"/>
      <c r="C402" s="51" t="n"/>
      <c r="D402" s="51" t="n"/>
      <c r="E402" s="52" t="n"/>
    </row>
    <row r="403" ht="14.25" customHeight="1" s="96">
      <c r="A403" s="51" t="n"/>
      <c r="B403" s="51" t="n"/>
      <c r="C403" s="51" t="n"/>
      <c r="D403" s="51" t="n"/>
      <c r="E403" s="52" t="n"/>
    </row>
    <row r="404" ht="14.25" customHeight="1" s="96">
      <c r="A404" s="51" t="n"/>
      <c r="B404" s="51" t="n"/>
      <c r="C404" s="51" t="n"/>
      <c r="D404" s="51" t="n"/>
      <c r="E404" s="52" t="n"/>
    </row>
    <row r="405" ht="14.25" customHeight="1" s="96">
      <c r="A405" s="51" t="n"/>
      <c r="B405" s="51" t="n"/>
      <c r="C405" s="51" t="n"/>
      <c r="D405" s="51" t="n"/>
      <c r="E405" s="52" t="n"/>
    </row>
    <row r="406" ht="14.25" customHeight="1" s="96">
      <c r="A406" s="51" t="n"/>
      <c r="B406" s="51" t="n"/>
      <c r="C406" s="51" t="n"/>
      <c r="D406" s="51" t="n"/>
      <c r="E406" s="52" t="n"/>
    </row>
    <row r="407" ht="14.25" customHeight="1" s="96">
      <c r="A407" s="51" t="n"/>
      <c r="B407" s="51" t="n"/>
      <c r="C407" s="51" t="n"/>
      <c r="D407" s="51" t="n"/>
      <c r="E407" s="52" t="n"/>
    </row>
    <row r="408" ht="14.25" customHeight="1" s="96">
      <c r="A408" s="51" t="n"/>
      <c r="B408" s="51" t="n"/>
      <c r="C408" s="51" t="n"/>
      <c r="D408" s="51" t="n"/>
      <c r="E408" s="52" t="n"/>
    </row>
    <row r="409" ht="14.25" customHeight="1" s="96">
      <c r="A409" s="51" t="n"/>
      <c r="B409" s="51" t="n"/>
      <c r="C409" s="51" t="n"/>
      <c r="D409" s="51" t="n"/>
      <c r="E409" s="52" t="n"/>
    </row>
    <row r="410" ht="14.25" customHeight="1" s="96">
      <c r="A410" s="51" t="n"/>
      <c r="B410" s="51" t="n"/>
      <c r="C410" s="51" t="n"/>
      <c r="D410" s="51" t="n"/>
      <c r="E410" s="52" t="n"/>
    </row>
    <row r="411" ht="14.25" customHeight="1" s="96">
      <c r="A411" s="51" t="n"/>
      <c r="B411" s="51" t="n"/>
      <c r="C411" s="51" t="n"/>
      <c r="D411" s="51" t="n"/>
      <c r="E411" s="52" t="n"/>
    </row>
    <row r="412" ht="14.25" customHeight="1" s="96">
      <c r="A412" s="51" t="n"/>
      <c r="B412" s="51" t="n"/>
      <c r="C412" s="51" t="n"/>
      <c r="D412" s="51" t="n"/>
      <c r="E412" s="52" t="n"/>
    </row>
    <row r="413" ht="14.25" customHeight="1" s="96">
      <c r="A413" s="51" t="n"/>
      <c r="B413" s="51" t="n"/>
      <c r="C413" s="51" t="n"/>
      <c r="D413" s="51" t="n"/>
      <c r="E413" s="52" t="n"/>
    </row>
    <row r="414" ht="14.25" customHeight="1" s="96">
      <c r="A414" s="51" t="n"/>
      <c r="B414" s="51" t="n"/>
      <c r="C414" s="51" t="n"/>
      <c r="D414" s="51" t="n"/>
      <c r="E414" s="52" t="n"/>
    </row>
    <row r="415" ht="14.25" customHeight="1" s="96">
      <c r="A415" s="51" t="n"/>
      <c r="B415" s="51" t="n"/>
      <c r="C415" s="51" t="n"/>
      <c r="D415" s="51" t="n"/>
      <c r="E415" s="52" t="n"/>
    </row>
    <row r="416" ht="14.25" customHeight="1" s="96">
      <c r="A416" s="51" t="n"/>
      <c r="B416" s="51" t="n"/>
      <c r="C416" s="51" t="n"/>
      <c r="D416" s="51" t="n"/>
      <c r="E416" s="52" t="n"/>
    </row>
    <row r="417" ht="14.25" customHeight="1" s="96">
      <c r="A417" s="51" t="n"/>
      <c r="B417" s="51" t="n"/>
      <c r="C417" s="51" t="n"/>
      <c r="D417" s="51" t="n"/>
      <c r="E417" s="52" t="n"/>
    </row>
    <row r="418" ht="14.25" customHeight="1" s="96">
      <c r="A418" s="51" t="n"/>
      <c r="B418" s="51" t="n"/>
      <c r="C418" s="51" t="n"/>
      <c r="D418" s="51" t="n"/>
      <c r="E418" s="52" t="n"/>
    </row>
    <row r="419" ht="14.25" customHeight="1" s="96">
      <c r="A419" s="51" t="n"/>
      <c r="B419" s="51" t="n"/>
      <c r="C419" s="51" t="n"/>
      <c r="D419" s="51" t="n"/>
      <c r="E419" s="52" t="n"/>
    </row>
    <row r="420" ht="14.25" customHeight="1" s="96">
      <c r="A420" s="51" t="n"/>
      <c r="B420" s="51" t="n"/>
      <c r="C420" s="51" t="n"/>
      <c r="D420" s="51" t="n"/>
      <c r="E420" s="52" t="n"/>
    </row>
    <row r="421" ht="14.25" customHeight="1" s="96">
      <c r="A421" s="51" t="n"/>
      <c r="B421" s="51" t="n"/>
      <c r="C421" s="51" t="n"/>
      <c r="D421" s="51" t="n"/>
      <c r="E421" s="52" t="n"/>
    </row>
    <row r="422" ht="14.25" customHeight="1" s="96">
      <c r="A422" s="51" t="n"/>
      <c r="B422" s="51" t="n"/>
      <c r="C422" s="51" t="n"/>
      <c r="D422" s="51" t="n"/>
      <c r="E422" s="52" t="n"/>
    </row>
    <row r="423" ht="14.25" customHeight="1" s="96">
      <c r="A423" s="51" t="n"/>
      <c r="B423" s="51" t="n"/>
      <c r="C423" s="51" t="n"/>
      <c r="D423" s="51" t="n"/>
      <c r="E423" s="52" t="n"/>
    </row>
    <row r="424" ht="14.25" customHeight="1" s="96">
      <c r="A424" s="51" t="n"/>
      <c r="B424" s="51" t="n"/>
      <c r="C424" s="51" t="n"/>
      <c r="D424" s="51" t="n"/>
      <c r="E424" s="52" t="n"/>
    </row>
    <row r="425" ht="14.25" customHeight="1" s="96">
      <c r="A425" s="51" t="n"/>
      <c r="B425" s="51" t="n"/>
      <c r="C425" s="51" t="n"/>
      <c r="D425" s="51" t="n"/>
      <c r="E425" s="52" t="n"/>
    </row>
    <row r="426" ht="14.25" customHeight="1" s="96">
      <c r="A426" s="51" t="n"/>
      <c r="B426" s="51" t="n"/>
      <c r="C426" s="51" t="n"/>
      <c r="D426" s="51" t="n"/>
      <c r="E426" s="52" t="n"/>
    </row>
    <row r="427" ht="14.25" customHeight="1" s="96">
      <c r="A427" s="51" t="n"/>
      <c r="B427" s="51" t="n"/>
      <c r="C427" s="51" t="n"/>
      <c r="D427" s="51" t="n"/>
      <c r="E427" s="52" t="n"/>
    </row>
    <row r="428" ht="14.25" customHeight="1" s="96">
      <c r="A428" s="51" t="n"/>
      <c r="B428" s="51" t="n"/>
      <c r="C428" s="51" t="n"/>
      <c r="D428" s="51" t="n"/>
      <c r="E428" s="52" t="n"/>
    </row>
    <row r="429" ht="14.25" customHeight="1" s="96">
      <c r="A429" s="51" t="n"/>
      <c r="B429" s="51" t="n"/>
      <c r="C429" s="51" t="n"/>
      <c r="D429" s="51" t="n"/>
      <c r="E429" s="52" t="n"/>
    </row>
    <row r="430" ht="14.25" customHeight="1" s="96">
      <c r="A430" s="51" t="n"/>
      <c r="B430" s="51" t="n"/>
      <c r="C430" s="51" t="n"/>
      <c r="D430" s="51" t="n"/>
      <c r="E430" s="52" t="n"/>
    </row>
    <row r="431" ht="14.25" customHeight="1" s="96">
      <c r="A431" s="51" t="n"/>
      <c r="B431" s="51" t="n"/>
      <c r="C431" s="51" t="n"/>
      <c r="D431" s="51" t="n"/>
      <c r="E431" s="52" t="n"/>
    </row>
    <row r="432" ht="14.25" customHeight="1" s="96">
      <c r="A432" s="51" t="n"/>
      <c r="B432" s="51" t="n"/>
      <c r="C432" s="51" t="n"/>
      <c r="D432" s="51" t="n"/>
      <c r="E432" s="52" t="n"/>
    </row>
    <row r="433" ht="14.25" customHeight="1" s="96">
      <c r="A433" s="51" t="n"/>
      <c r="B433" s="51" t="n"/>
      <c r="C433" s="51" t="n"/>
      <c r="D433" s="51" t="n"/>
      <c r="E433" s="52" t="n"/>
    </row>
    <row r="434" ht="14.25" customHeight="1" s="96">
      <c r="A434" s="51" t="n"/>
      <c r="B434" s="51" t="n"/>
      <c r="C434" s="51" t="n"/>
      <c r="D434" s="51" t="n"/>
      <c r="E434" s="52" t="n"/>
    </row>
    <row r="435" ht="14.25" customHeight="1" s="96">
      <c r="A435" s="51" t="n"/>
      <c r="B435" s="51" t="n"/>
      <c r="C435" s="51" t="n"/>
      <c r="D435" s="51" t="n"/>
      <c r="E435" s="52" t="n"/>
    </row>
    <row r="436" ht="14.25" customHeight="1" s="96">
      <c r="A436" s="51" t="n"/>
      <c r="B436" s="51" t="n"/>
      <c r="C436" s="51" t="n"/>
      <c r="D436" s="51" t="n"/>
      <c r="E436" s="52" t="n"/>
    </row>
    <row r="437" ht="14.25" customHeight="1" s="96">
      <c r="A437" s="51" t="n"/>
      <c r="B437" s="51" t="n"/>
      <c r="C437" s="51" t="n"/>
      <c r="D437" s="51" t="n"/>
      <c r="E437" s="52" t="n"/>
    </row>
    <row r="438" ht="14.25" customHeight="1" s="96">
      <c r="A438" s="51" t="n"/>
      <c r="B438" s="51" t="n"/>
      <c r="C438" s="51" t="n"/>
      <c r="D438" s="51" t="n"/>
      <c r="E438" s="52" t="n"/>
    </row>
    <row r="439" ht="14.25" customHeight="1" s="96">
      <c r="A439" s="51" t="n"/>
      <c r="B439" s="51" t="n"/>
      <c r="C439" s="51" t="n"/>
      <c r="D439" s="51" t="n"/>
      <c r="E439" s="52" t="n"/>
    </row>
    <row r="440" ht="14.25" customHeight="1" s="96">
      <c r="A440" s="51" t="n"/>
      <c r="B440" s="51" t="n"/>
      <c r="C440" s="51" t="n"/>
      <c r="D440" s="51" t="n"/>
      <c r="E440" s="52" t="n"/>
    </row>
    <row r="441" ht="14.25" customHeight="1" s="96">
      <c r="A441" s="51" t="n"/>
      <c r="B441" s="51" t="n"/>
      <c r="C441" s="51" t="n"/>
      <c r="D441" s="51" t="n"/>
      <c r="E441" s="52" t="n"/>
    </row>
    <row r="442" ht="14.25" customHeight="1" s="96">
      <c r="A442" s="51" t="n"/>
      <c r="B442" s="51" t="n"/>
      <c r="C442" s="51" t="n"/>
      <c r="D442" s="51" t="n"/>
      <c r="E442" s="52" t="n"/>
    </row>
    <row r="443" ht="14.25" customHeight="1" s="96">
      <c r="A443" s="51" t="n"/>
      <c r="B443" s="51" t="n"/>
      <c r="C443" s="51" t="n"/>
      <c r="D443" s="51" t="n"/>
      <c r="E443" s="52" t="n"/>
    </row>
    <row r="444" ht="14.25" customHeight="1" s="96">
      <c r="A444" s="51" t="n"/>
      <c r="B444" s="51" t="n"/>
      <c r="C444" s="51" t="n"/>
      <c r="D444" s="51" t="n"/>
      <c r="E444" s="52" t="n"/>
    </row>
    <row r="445" ht="14.25" customHeight="1" s="96">
      <c r="A445" s="51" t="n"/>
      <c r="B445" s="51" t="n"/>
      <c r="C445" s="51" t="n"/>
      <c r="D445" s="51" t="n"/>
      <c r="E445" s="52" t="n"/>
    </row>
    <row r="446" ht="14.25" customHeight="1" s="96">
      <c r="A446" s="51" t="n"/>
      <c r="B446" s="51" t="n"/>
      <c r="C446" s="51" t="n"/>
      <c r="D446" s="51" t="n"/>
      <c r="E446" s="52" t="n"/>
    </row>
    <row r="447" ht="14.25" customHeight="1" s="96">
      <c r="A447" s="51" t="n"/>
      <c r="B447" s="51" t="n"/>
      <c r="C447" s="51" t="n"/>
      <c r="D447" s="51" t="n"/>
      <c r="E447" s="52" t="n"/>
    </row>
    <row r="448" ht="14.25" customHeight="1" s="96">
      <c r="A448" s="51" t="n"/>
      <c r="B448" s="51" t="n"/>
      <c r="C448" s="51" t="n"/>
      <c r="D448" s="51" t="n"/>
      <c r="E448" s="52" t="n"/>
    </row>
    <row r="449" ht="14.25" customHeight="1" s="96">
      <c r="A449" s="51" t="n"/>
      <c r="B449" s="51" t="n"/>
      <c r="C449" s="51" t="n"/>
      <c r="D449" s="51" t="n"/>
      <c r="E449" s="52" t="n"/>
    </row>
    <row r="450" ht="14.25" customHeight="1" s="96">
      <c r="A450" s="51" t="n"/>
      <c r="B450" s="51" t="n"/>
      <c r="C450" s="51" t="n"/>
      <c r="D450" s="51" t="n"/>
      <c r="E450" s="52" t="n"/>
    </row>
    <row r="451" ht="14.25" customHeight="1" s="96">
      <c r="A451" s="51" t="n"/>
      <c r="B451" s="51" t="n"/>
      <c r="C451" s="51" t="n"/>
      <c r="D451" s="51" t="n"/>
      <c r="E451" s="52" t="n"/>
    </row>
    <row r="452" ht="14.25" customHeight="1" s="96">
      <c r="A452" s="51" t="n"/>
      <c r="B452" s="51" t="n"/>
      <c r="C452" s="51" t="n"/>
      <c r="D452" s="51" t="n"/>
      <c r="E452" s="52" t="n"/>
    </row>
    <row r="453" ht="14.25" customHeight="1" s="96">
      <c r="A453" s="51" t="n"/>
      <c r="B453" s="51" t="n"/>
      <c r="C453" s="51" t="n"/>
      <c r="D453" s="51" t="n"/>
      <c r="E453" s="52" t="n"/>
    </row>
    <row r="454" ht="14.25" customHeight="1" s="96">
      <c r="A454" s="51" t="n"/>
      <c r="B454" s="51" t="n"/>
      <c r="C454" s="51" t="n"/>
      <c r="D454" s="51" t="n"/>
      <c r="E454" s="52" t="n"/>
    </row>
    <row r="455" ht="14.25" customHeight="1" s="96">
      <c r="A455" s="51" t="n"/>
      <c r="B455" s="51" t="n"/>
      <c r="C455" s="51" t="n"/>
      <c r="D455" s="51" t="n"/>
      <c r="E455" s="52" t="n"/>
    </row>
    <row r="456" ht="14.25" customHeight="1" s="96">
      <c r="A456" s="51" t="n"/>
      <c r="B456" s="51" t="n"/>
      <c r="C456" s="51" t="n"/>
      <c r="D456" s="51" t="n"/>
      <c r="E456" s="52" t="n"/>
    </row>
    <row r="457" ht="14.25" customHeight="1" s="96">
      <c r="A457" s="51" t="n"/>
      <c r="B457" s="51" t="n"/>
      <c r="C457" s="51" t="n"/>
      <c r="D457" s="51" t="n"/>
      <c r="E457" s="52" t="n"/>
    </row>
    <row r="458" ht="14.25" customHeight="1" s="96">
      <c r="A458" s="51" t="n"/>
      <c r="B458" s="51" t="n"/>
      <c r="C458" s="51" t="n"/>
      <c r="D458" s="51" t="n"/>
      <c r="E458" s="52" t="n"/>
    </row>
    <row r="459" ht="14.25" customHeight="1" s="96">
      <c r="A459" s="51" t="n"/>
      <c r="B459" s="51" t="n"/>
      <c r="C459" s="51" t="n"/>
      <c r="D459" s="51" t="n"/>
      <c r="E459" s="52" t="n"/>
    </row>
    <row r="460" ht="14.25" customHeight="1" s="96">
      <c r="A460" s="51" t="n"/>
      <c r="B460" s="51" t="n"/>
      <c r="C460" s="51" t="n"/>
      <c r="D460" s="51" t="n"/>
      <c r="E460" s="52" t="n"/>
    </row>
    <row r="461" ht="14.25" customHeight="1" s="96">
      <c r="A461" s="51" t="n"/>
      <c r="B461" s="51" t="n"/>
      <c r="C461" s="51" t="n"/>
      <c r="D461" s="51" t="n"/>
      <c r="E461" s="52" t="n"/>
    </row>
    <row r="462" ht="14.25" customHeight="1" s="96">
      <c r="A462" s="51" t="n"/>
      <c r="B462" s="51" t="n"/>
      <c r="C462" s="51" t="n"/>
      <c r="D462" s="51" t="n"/>
      <c r="E462" s="52" t="n"/>
    </row>
    <row r="463" ht="14.25" customHeight="1" s="96">
      <c r="A463" s="51" t="n"/>
      <c r="B463" s="51" t="n"/>
      <c r="C463" s="51" t="n"/>
      <c r="D463" s="51" t="n"/>
      <c r="E463" s="52" t="n"/>
    </row>
    <row r="464" ht="14.25" customHeight="1" s="96">
      <c r="A464" s="51" t="n"/>
      <c r="B464" s="51" t="n"/>
      <c r="C464" s="51" t="n"/>
      <c r="D464" s="51" t="n"/>
      <c r="E464" s="52" t="n"/>
    </row>
    <row r="465" ht="14.25" customHeight="1" s="96">
      <c r="A465" s="51" t="n"/>
      <c r="B465" s="51" t="n"/>
      <c r="C465" s="51" t="n"/>
      <c r="D465" s="51" t="n"/>
      <c r="E465" s="52" t="n"/>
    </row>
    <row r="466" ht="14.25" customHeight="1" s="96">
      <c r="A466" s="51" t="n"/>
      <c r="B466" s="51" t="n"/>
      <c r="C466" s="51" t="n"/>
      <c r="D466" s="51" t="n"/>
      <c r="E466" s="52" t="n"/>
    </row>
    <row r="467" ht="14.25" customHeight="1" s="96">
      <c r="A467" s="51" t="n"/>
      <c r="B467" s="51" t="n"/>
      <c r="C467" s="51" t="n"/>
      <c r="D467" s="51" t="n"/>
      <c r="E467" s="52" t="n"/>
    </row>
    <row r="468" ht="14.25" customHeight="1" s="96">
      <c r="A468" s="51" t="n"/>
      <c r="B468" s="51" t="n"/>
      <c r="C468" s="51" t="n"/>
      <c r="D468" s="51" t="n"/>
      <c r="E468" s="52" t="n"/>
    </row>
    <row r="469" ht="14.25" customHeight="1" s="96">
      <c r="A469" s="51" t="n"/>
      <c r="B469" s="51" t="n"/>
      <c r="C469" s="51" t="n"/>
      <c r="D469" s="51" t="n"/>
      <c r="E469" s="52" t="n"/>
    </row>
    <row r="470" ht="14.25" customHeight="1" s="96">
      <c r="A470" s="51" t="n"/>
      <c r="B470" s="51" t="n"/>
      <c r="C470" s="51" t="n"/>
      <c r="D470" s="51" t="n"/>
      <c r="E470" s="52" t="n"/>
    </row>
    <row r="471" ht="14.25" customHeight="1" s="96">
      <c r="A471" s="51" t="n"/>
      <c r="B471" s="51" t="n"/>
      <c r="C471" s="51" t="n"/>
      <c r="D471" s="51" t="n"/>
      <c r="E471" s="52" t="n"/>
    </row>
    <row r="472" ht="14.25" customHeight="1" s="96">
      <c r="A472" s="51" t="n"/>
      <c r="B472" s="51" t="n"/>
      <c r="C472" s="51" t="n"/>
      <c r="D472" s="51" t="n"/>
      <c r="E472" s="52" t="n"/>
    </row>
    <row r="473" ht="14.25" customHeight="1" s="96">
      <c r="A473" s="51" t="n"/>
      <c r="B473" s="51" t="n"/>
      <c r="C473" s="51" t="n"/>
      <c r="D473" s="51" t="n"/>
      <c r="E473" s="52" t="n"/>
    </row>
    <row r="474" ht="14.25" customHeight="1" s="96">
      <c r="A474" s="51" t="n"/>
      <c r="B474" s="51" t="n"/>
      <c r="C474" s="51" t="n"/>
      <c r="D474" s="51" t="n"/>
      <c r="E474" s="52" t="n"/>
    </row>
    <row r="475" ht="14.25" customHeight="1" s="96">
      <c r="A475" s="51" t="n"/>
      <c r="B475" s="51" t="n"/>
      <c r="C475" s="51" t="n"/>
      <c r="D475" s="51" t="n"/>
      <c r="E475" s="52" t="n"/>
    </row>
    <row r="476" ht="14.25" customHeight="1" s="96">
      <c r="A476" s="51" t="n"/>
      <c r="B476" s="51" t="n"/>
      <c r="C476" s="51" t="n"/>
      <c r="D476" s="51" t="n"/>
      <c r="E476" s="52" t="n"/>
    </row>
    <row r="477" ht="14.25" customHeight="1" s="96">
      <c r="A477" s="51" t="n"/>
      <c r="B477" s="51" t="n"/>
      <c r="C477" s="51" t="n"/>
      <c r="D477" s="51" t="n"/>
      <c r="E477" s="52" t="n"/>
    </row>
    <row r="478" ht="14.25" customHeight="1" s="96">
      <c r="A478" s="51" t="n"/>
      <c r="B478" s="51" t="n"/>
      <c r="C478" s="51" t="n"/>
      <c r="D478" s="51" t="n"/>
      <c r="E478" s="52" t="n"/>
    </row>
    <row r="479" ht="14.25" customHeight="1" s="96">
      <c r="A479" s="51" t="n"/>
      <c r="B479" s="51" t="n"/>
      <c r="C479" s="51" t="n"/>
      <c r="D479" s="51" t="n"/>
      <c r="E479" s="52" t="n"/>
    </row>
    <row r="480" ht="14.25" customHeight="1" s="96">
      <c r="A480" s="51" t="n"/>
      <c r="B480" s="51" t="n"/>
      <c r="C480" s="51" t="n"/>
      <c r="D480" s="51" t="n"/>
      <c r="E480" s="52" t="n"/>
    </row>
    <row r="481" ht="14.25" customHeight="1" s="96">
      <c r="A481" s="51" t="n"/>
      <c r="B481" s="51" t="n"/>
      <c r="C481" s="51" t="n"/>
      <c r="D481" s="51" t="n"/>
      <c r="E481" s="52" t="n"/>
    </row>
    <row r="482" ht="14.25" customHeight="1" s="96">
      <c r="A482" s="51" t="n"/>
      <c r="B482" s="51" t="n"/>
      <c r="C482" s="51" t="n"/>
      <c r="D482" s="51" t="n"/>
      <c r="E482" s="52" t="n"/>
    </row>
    <row r="483" ht="14.25" customHeight="1" s="96">
      <c r="A483" s="51" t="n"/>
      <c r="B483" s="51" t="n"/>
      <c r="C483" s="51" t="n"/>
      <c r="D483" s="51" t="n"/>
      <c r="E483" s="52" t="n"/>
    </row>
    <row r="484" ht="14.25" customHeight="1" s="96">
      <c r="A484" s="51" t="n"/>
      <c r="B484" s="51" t="n"/>
      <c r="C484" s="51" t="n"/>
      <c r="D484" s="51" t="n"/>
      <c r="E484" s="52" t="n"/>
    </row>
    <row r="485" ht="14.25" customHeight="1" s="96">
      <c r="A485" s="51" t="n"/>
      <c r="B485" s="51" t="n"/>
      <c r="C485" s="51" t="n"/>
      <c r="D485" s="51" t="n"/>
      <c r="E485" s="52" t="n"/>
    </row>
    <row r="486" ht="14.25" customHeight="1" s="96">
      <c r="A486" s="51" t="n"/>
      <c r="B486" s="51" t="n"/>
      <c r="C486" s="51" t="n"/>
      <c r="D486" s="51" t="n"/>
      <c r="E486" s="52" t="n"/>
    </row>
    <row r="487" ht="14.25" customHeight="1" s="96">
      <c r="A487" s="51" t="n"/>
      <c r="B487" s="51" t="n"/>
      <c r="C487" s="51" t="n"/>
      <c r="D487" s="51" t="n"/>
      <c r="E487" s="52" t="n"/>
    </row>
    <row r="488" ht="14.25" customHeight="1" s="96">
      <c r="A488" s="51" t="n"/>
      <c r="B488" s="51" t="n"/>
      <c r="C488" s="51" t="n"/>
      <c r="D488" s="51" t="n"/>
      <c r="E488" s="52" t="n"/>
    </row>
    <row r="489" ht="14.25" customHeight="1" s="96">
      <c r="A489" s="51" t="n"/>
      <c r="B489" s="51" t="n"/>
      <c r="C489" s="51" t="n"/>
      <c r="D489" s="51" t="n"/>
      <c r="E489" s="52" t="n"/>
    </row>
    <row r="490" ht="14.25" customHeight="1" s="96">
      <c r="A490" s="51" t="n"/>
      <c r="B490" s="51" t="n"/>
      <c r="C490" s="51" t="n"/>
      <c r="D490" s="51" t="n"/>
      <c r="E490" s="52" t="n"/>
    </row>
    <row r="491" ht="14.25" customHeight="1" s="96">
      <c r="A491" s="51" t="n"/>
      <c r="B491" s="51" t="n"/>
      <c r="C491" s="51" t="n"/>
      <c r="D491" s="51" t="n"/>
      <c r="E491" s="52" t="n"/>
    </row>
    <row r="492" ht="14.25" customHeight="1" s="96">
      <c r="A492" s="51" t="n"/>
      <c r="B492" s="51" t="n"/>
      <c r="C492" s="51" t="n"/>
      <c r="D492" s="51" t="n"/>
      <c r="E492" s="52" t="n"/>
    </row>
    <row r="493" ht="14.25" customHeight="1" s="96">
      <c r="A493" s="51" t="n"/>
      <c r="B493" s="51" t="n"/>
      <c r="C493" s="51" t="n"/>
      <c r="D493" s="51" t="n"/>
      <c r="E493" s="52" t="n"/>
    </row>
    <row r="494" ht="14.25" customHeight="1" s="96">
      <c r="A494" s="51" t="n"/>
      <c r="B494" s="51" t="n"/>
      <c r="C494" s="51" t="n"/>
      <c r="D494" s="51" t="n"/>
      <c r="E494" s="52" t="n"/>
    </row>
    <row r="495" ht="14.25" customHeight="1" s="96">
      <c r="A495" s="51" t="n"/>
      <c r="B495" s="51" t="n"/>
      <c r="C495" s="51" t="n"/>
      <c r="D495" s="51" t="n"/>
      <c r="E495" s="52" t="n"/>
    </row>
    <row r="496" ht="14.25" customHeight="1" s="96">
      <c r="A496" s="51" t="n"/>
      <c r="B496" s="51" t="n"/>
      <c r="C496" s="51" t="n"/>
      <c r="D496" s="51" t="n"/>
      <c r="E496" s="52" t="n"/>
    </row>
    <row r="497" ht="14.25" customHeight="1" s="96">
      <c r="A497" s="51" t="n"/>
      <c r="B497" s="51" t="n"/>
      <c r="C497" s="51" t="n"/>
      <c r="D497" s="51" t="n"/>
      <c r="E497" s="52" t="n"/>
    </row>
    <row r="498" ht="14.25" customHeight="1" s="96">
      <c r="A498" s="51" t="n"/>
      <c r="B498" s="51" t="n"/>
      <c r="C498" s="51" t="n"/>
      <c r="D498" s="51" t="n"/>
      <c r="E498" s="52" t="n"/>
    </row>
    <row r="499" ht="14.25" customHeight="1" s="96">
      <c r="A499" s="51" t="n"/>
      <c r="B499" s="51" t="n"/>
      <c r="C499" s="51" t="n"/>
      <c r="D499" s="51" t="n"/>
      <c r="E499" s="52" t="n"/>
    </row>
    <row r="500" ht="14.25" customHeight="1" s="96">
      <c r="A500" s="51" t="n"/>
      <c r="B500" s="51" t="n"/>
      <c r="C500" s="51" t="n"/>
      <c r="D500" s="51" t="n"/>
      <c r="E500" s="52" t="n"/>
    </row>
    <row r="501" ht="14.25" customHeight="1" s="96">
      <c r="A501" s="51" t="n"/>
      <c r="B501" s="51" t="n"/>
      <c r="C501" s="51" t="n"/>
      <c r="D501" s="51" t="n"/>
      <c r="E501" s="52" t="n"/>
    </row>
    <row r="502" ht="14.25" customHeight="1" s="96">
      <c r="A502" s="51" t="n"/>
      <c r="B502" s="51" t="n"/>
      <c r="C502" s="51" t="n"/>
      <c r="D502" s="51" t="n"/>
      <c r="E502" s="52" t="n"/>
    </row>
    <row r="503" ht="14.25" customHeight="1" s="96">
      <c r="A503" s="51" t="n"/>
      <c r="B503" s="51" t="n"/>
      <c r="C503" s="51" t="n"/>
      <c r="D503" s="51" t="n"/>
      <c r="E503" s="52" t="n"/>
    </row>
    <row r="504" ht="14.25" customHeight="1" s="96">
      <c r="A504" s="51" t="n"/>
      <c r="B504" s="51" t="n"/>
      <c r="C504" s="51" t="n"/>
      <c r="D504" s="51" t="n"/>
      <c r="E504" s="52" t="n"/>
    </row>
    <row r="505" ht="14.25" customHeight="1" s="96">
      <c r="A505" s="51" t="n"/>
      <c r="B505" s="51" t="n"/>
      <c r="C505" s="51" t="n"/>
      <c r="D505" s="51" t="n"/>
      <c r="E505" s="52" t="n"/>
    </row>
    <row r="506" ht="14.25" customHeight="1" s="96">
      <c r="A506" s="51" t="n"/>
      <c r="B506" s="51" t="n"/>
      <c r="C506" s="51" t="n"/>
      <c r="D506" s="51" t="n"/>
      <c r="E506" s="52" t="n"/>
    </row>
    <row r="507" ht="14.25" customHeight="1" s="96">
      <c r="A507" s="51" t="n"/>
      <c r="B507" s="51" t="n"/>
      <c r="C507" s="51" t="n"/>
      <c r="D507" s="51" t="n"/>
      <c r="E507" s="52" t="n"/>
    </row>
    <row r="508" ht="14.25" customHeight="1" s="96">
      <c r="A508" s="51" t="n"/>
      <c r="B508" s="51" t="n"/>
      <c r="C508" s="51" t="n"/>
      <c r="D508" s="51" t="n"/>
      <c r="E508" s="52" t="n"/>
    </row>
    <row r="509" ht="14.25" customHeight="1" s="96">
      <c r="A509" s="51" t="n"/>
      <c r="B509" s="51" t="n"/>
      <c r="C509" s="51" t="n"/>
      <c r="D509" s="51" t="n"/>
      <c r="E509" s="52" t="n"/>
    </row>
    <row r="510" ht="14.25" customHeight="1" s="96">
      <c r="A510" s="51" t="n"/>
      <c r="B510" s="51" t="n"/>
      <c r="C510" s="51" t="n"/>
      <c r="D510" s="51" t="n"/>
      <c r="E510" s="52" t="n"/>
    </row>
    <row r="511" ht="14.25" customHeight="1" s="96">
      <c r="A511" s="51" t="n"/>
      <c r="B511" s="51" t="n"/>
      <c r="C511" s="51" t="n"/>
      <c r="D511" s="51" t="n"/>
      <c r="E511" s="52" t="n"/>
    </row>
    <row r="512" ht="14.25" customHeight="1" s="96">
      <c r="A512" s="51" t="n"/>
      <c r="B512" s="51" t="n"/>
      <c r="C512" s="51" t="n"/>
      <c r="D512" s="51" t="n"/>
      <c r="E512" s="52" t="n"/>
    </row>
    <row r="513" ht="14.25" customHeight="1" s="96">
      <c r="A513" s="51" t="n"/>
      <c r="B513" s="51" t="n"/>
      <c r="C513" s="51" t="n"/>
      <c r="D513" s="51" t="n"/>
      <c r="E513" s="52" t="n"/>
    </row>
    <row r="514" ht="14.25" customHeight="1" s="96">
      <c r="A514" s="51" t="n"/>
      <c r="B514" s="51" t="n"/>
      <c r="C514" s="51" t="n"/>
      <c r="D514" s="51" t="n"/>
      <c r="E514" s="52" t="n"/>
    </row>
    <row r="515" ht="14.25" customHeight="1" s="96">
      <c r="A515" s="51" t="n"/>
      <c r="B515" s="51" t="n"/>
      <c r="C515" s="51" t="n"/>
      <c r="D515" s="51" t="n"/>
      <c r="E515" s="52" t="n"/>
    </row>
    <row r="516" ht="14.25" customHeight="1" s="96">
      <c r="A516" s="51" t="n"/>
      <c r="B516" s="51" t="n"/>
      <c r="C516" s="51" t="n"/>
      <c r="D516" s="51" t="n"/>
      <c r="E516" s="52" t="n"/>
    </row>
    <row r="517" ht="14.25" customHeight="1" s="96">
      <c r="A517" s="51" t="n"/>
      <c r="B517" s="51" t="n"/>
      <c r="C517" s="51" t="n"/>
      <c r="D517" s="51" t="n"/>
      <c r="E517" s="52" t="n"/>
    </row>
    <row r="518" ht="14.25" customHeight="1" s="96">
      <c r="A518" s="51" t="n"/>
      <c r="B518" s="51" t="n"/>
      <c r="C518" s="51" t="n"/>
      <c r="D518" s="51" t="n"/>
      <c r="E518" s="52" t="n"/>
    </row>
    <row r="519" ht="14.25" customHeight="1" s="96">
      <c r="A519" s="51" t="n"/>
      <c r="B519" s="51" t="n"/>
      <c r="C519" s="51" t="n"/>
      <c r="D519" s="51" t="n"/>
      <c r="E519" s="52" t="n"/>
    </row>
    <row r="520" ht="14.25" customHeight="1" s="96">
      <c r="A520" s="51" t="n"/>
      <c r="B520" s="51" t="n"/>
      <c r="C520" s="51" t="n"/>
      <c r="D520" s="51" t="n"/>
      <c r="E520" s="52" t="n"/>
    </row>
    <row r="521" ht="14.25" customHeight="1" s="96">
      <c r="A521" s="51" t="n"/>
      <c r="B521" s="51" t="n"/>
      <c r="C521" s="51" t="n"/>
      <c r="D521" s="51" t="n"/>
      <c r="E521" s="52" t="n"/>
    </row>
    <row r="522" ht="14.25" customHeight="1" s="96">
      <c r="A522" s="51" t="n"/>
      <c r="B522" s="51" t="n"/>
      <c r="C522" s="51" t="n"/>
      <c r="D522" s="51" t="n"/>
      <c r="E522" s="52" t="n"/>
    </row>
    <row r="523" ht="14.25" customHeight="1" s="96">
      <c r="A523" s="51" t="n"/>
      <c r="B523" s="51" t="n"/>
      <c r="C523" s="51" t="n"/>
      <c r="D523" s="51" t="n"/>
      <c r="E523" s="52" t="n"/>
    </row>
    <row r="524" ht="14.25" customHeight="1" s="96">
      <c r="A524" s="51" t="n"/>
      <c r="B524" s="51" t="n"/>
      <c r="C524" s="51" t="n"/>
      <c r="D524" s="51" t="n"/>
      <c r="E524" s="52" t="n"/>
    </row>
    <row r="525" ht="14.25" customHeight="1" s="96">
      <c r="A525" s="51" t="n"/>
      <c r="B525" s="51" t="n"/>
      <c r="C525" s="51" t="n"/>
      <c r="D525" s="51" t="n"/>
      <c r="E525" s="52" t="n"/>
    </row>
    <row r="526" ht="14.25" customHeight="1" s="96">
      <c r="A526" s="51" t="n"/>
      <c r="B526" s="51" t="n"/>
      <c r="C526" s="51" t="n"/>
      <c r="D526" s="51" t="n"/>
      <c r="E526" s="52" t="n"/>
    </row>
    <row r="527" ht="14.25" customHeight="1" s="96">
      <c r="A527" s="51" t="n"/>
      <c r="B527" s="51" t="n"/>
      <c r="C527" s="51" t="n"/>
      <c r="D527" s="51" t="n"/>
      <c r="E527" s="52" t="n"/>
    </row>
    <row r="528" ht="14.25" customHeight="1" s="96">
      <c r="A528" s="51" t="n"/>
      <c r="B528" s="51" t="n"/>
      <c r="C528" s="51" t="n"/>
      <c r="D528" s="51" t="n"/>
      <c r="E528" s="52" t="n"/>
    </row>
    <row r="529" ht="14.25" customHeight="1" s="96">
      <c r="A529" s="51" t="n"/>
      <c r="B529" s="51" t="n"/>
      <c r="C529" s="51" t="n"/>
      <c r="D529" s="51" t="n"/>
      <c r="E529" s="52" t="n"/>
    </row>
    <row r="530" ht="14.25" customHeight="1" s="96">
      <c r="A530" s="51" t="n"/>
      <c r="B530" s="51" t="n"/>
      <c r="C530" s="51" t="n"/>
      <c r="D530" s="51" t="n"/>
      <c r="E530" s="52" t="n"/>
    </row>
    <row r="531" ht="14.25" customHeight="1" s="96">
      <c r="A531" s="51" t="n"/>
      <c r="B531" s="51" t="n"/>
      <c r="C531" s="51" t="n"/>
      <c r="D531" s="51" t="n"/>
      <c r="E531" s="52" t="n"/>
    </row>
    <row r="532" ht="14.25" customHeight="1" s="96">
      <c r="A532" s="51" t="n"/>
      <c r="B532" s="51" t="n"/>
      <c r="C532" s="51" t="n"/>
      <c r="D532" s="51" t="n"/>
      <c r="E532" s="52" t="n"/>
    </row>
    <row r="533" ht="14.25" customHeight="1" s="96">
      <c r="A533" s="51" t="n"/>
      <c r="B533" s="51" t="n"/>
      <c r="C533" s="51" t="n"/>
      <c r="D533" s="51" t="n"/>
      <c r="E533" s="52" t="n"/>
    </row>
    <row r="534" ht="14.25" customHeight="1" s="96">
      <c r="A534" s="51" t="n"/>
      <c r="B534" s="51" t="n"/>
      <c r="C534" s="51" t="n"/>
      <c r="D534" s="51" t="n"/>
      <c r="E534" s="52" t="n"/>
    </row>
    <row r="535" ht="14.25" customHeight="1" s="96">
      <c r="A535" s="51" t="n"/>
      <c r="B535" s="51" t="n"/>
      <c r="C535" s="51" t="n"/>
      <c r="D535" s="51" t="n"/>
      <c r="E535" s="52" t="n"/>
    </row>
    <row r="536" ht="14.25" customHeight="1" s="96">
      <c r="A536" s="51" t="n"/>
      <c r="B536" s="51" t="n"/>
      <c r="C536" s="51" t="n"/>
      <c r="D536" s="51" t="n"/>
      <c r="E536" s="52" t="n"/>
    </row>
    <row r="537" ht="14.25" customHeight="1" s="96">
      <c r="A537" s="51" t="n"/>
      <c r="B537" s="51" t="n"/>
      <c r="C537" s="51" t="n"/>
      <c r="D537" s="51" t="n"/>
      <c r="E537" s="52" t="n"/>
    </row>
    <row r="538" ht="14.25" customHeight="1" s="96">
      <c r="A538" s="51" t="n"/>
      <c r="B538" s="51" t="n"/>
      <c r="C538" s="51" t="n"/>
      <c r="D538" s="51" t="n"/>
      <c r="E538" s="52" t="n"/>
    </row>
    <row r="539" ht="14.25" customHeight="1" s="96">
      <c r="A539" s="51" t="n"/>
      <c r="B539" s="51" t="n"/>
      <c r="C539" s="51" t="n"/>
      <c r="D539" s="51" t="n"/>
      <c r="E539" s="52" t="n"/>
    </row>
    <row r="540" ht="14.25" customHeight="1" s="96">
      <c r="A540" s="51" t="n"/>
      <c r="B540" s="51" t="n"/>
      <c r="C540" s="51" t="n"/>
      <c r="D540" s="51" t="n"/>
      <c r="E540" s="52" t="n"/>
    </row>
    <row r="541" ht="14.25" customHeight="1" s="96">
      <c r="A541" s="51" t="n"/>
      <c r="B541" s="51" t="n"/>
      <c r="C541" s="51" t="n"/>
      <c r="D541" s="51" t="n"/>
      <c r="E541" s="52" t="n"/>
    </row>
    <row r="542" ht="14.25" customHeight="1" s="96">
      <c r="A542" s="51" t="n"/>
      <c r="B542" s="51" t="n"/>
      <c r="C542" s="51" t="n"/>
      <c r="D542" s="51" t="n"/>
      <c r="E542" s="52" t="n"/>
    </row>
    <row r="543" ht="14.25" customHeight="1" s="96">
      <c r="A543" s="51" t="n"/>
      <c r="B543" s="51" t="n"/>
      <c r="C543" s="51" t="n"/>
      <c r="D543" s="51" t="n"/>
      <c r="E543" s="52" t="n"/>
    </row>
    <row r="544" ht="14.25" customHeight="1" s="96">
      <c r="A544" s="51" t="n"/>
      <c r="B544" s="51" t="n"/>
      <c r="C544" s="51" t="n"/>
      <c r="D544" s="51" t="n"/>
      <c r="E544" s="52" t="n"/>
    </row>
    <row r="545" ht="14.25" customHeight="1" s="96">
      <c r="A545" s="51" t="n"/>
      <c r="B545" s="51" t="n"/>
      <c r="C545" s="51" t="n"/>
      <c r="D545" s="51" t="n"/>
      <c r="E545" s="52" t="n"/>
    </row>
    <row r="546" ht="14.25" customHeight="1" s="96">
      <c r="A546" s="51" t="n"/>
      <c r="B546" s="51" t="n"/>
      <c r="C546" s="51" t="n"/>
      <c r="D546" s="51" t="n"/>
      <c r="E546" s="52" t="n"/>
    </row>
    <row r="547" ht="14.25" customHeight="1" s="96">
      <c r="A547" s="51" t="n"/>
      <c r="B547" s="51" t="n"/>
      <c r="C547" s="51" t="n"/>
      <c r="D547" s="51" t="n"/>
      <c r="E547" s="52" t="n"/>
    </row>
    <row r="548" ht="14.25" customHeight="1" s="96">
      <c r="A548" s="51" t="n"/>
      <c r="B548" s="51" t="n"/>
      <c r="C548" s="51" t="n"/>
      <c r="D548" s="51" t="n"/>
      <c r="E548" s="52" t="n"/>
    </row>
    <row r="549" ht="14.25" customHeight="1" s="96">
      <c r="A549" s="51" t="n"/>
      <c r="B549" s="51" t="n"/>
      <c r="C549" s="51" t="n"/>
      <c r="D549" s="51" t="n"/>
      <c r="E549" s="52" t="n"/>
    </row>
    <row r="550" ht="14.25" customHeight="1" s="96">
      <c r="A550" s="51" t="n"/>
      <c r="B550" s="51" t="n"/>
      <c r="C550" s="51" t="n"/>
      <c r="D550" s="51" t="n"/>
      <c r="E550" s="52" t="n"/>
    </row>
    <row r="551" ht="14.25" customHeight="1" s="96">
      <c r="A551" s="51" t="n"/>
      <c r="B551" s="51" t="n"/>
      <c r="C551" s="51" t="n"/>
      <c r="D551" s="51" t="n"/>
      <c r="E551" s="52" t="n"/>
    </row>
    <row r="552" ht="14.25" customHeight="1" s="96">
      <c r="A552" s="51" t="n"/>
      <c r="B552" s="51" t="n"/>
      <c r="C552" s="51" t="n"/>
      <c r="D552" s="51" t="n"/>
      <c r="E552" s="52" t="n"/>
    </row>
    <row r="553" ht="14.25" customHeight="1" s="96">
      <c r="A553" s="51" t="n"/>
      <c r="B553" s="51" t="n"/>
      <c r="C553" s="51" t="n"/>
      <c r="D553" s="51" t="n"/>
      <c r="E553" s="52" t="n"/>
    </row>
    <row r="554" ht="14.25" customHeight="1" s="96">
      <c r="A554" s="51" t="n"/>
      <c r="B554" s="51" t="n"/>
      <c r="C554" s="51" t="n"/>
      <c r="D554" s="51" t="n"/>
      <c r="E554" s="52" t="n"/>
    </row>
    <row r="555" ht="14.25" customHeight="1" s="96">
      <c r="A555" s="51" t="n"/>
      <c r="B555" s="51" t="n"/>
      <c r="C555" s="51" t="n"/>
      <c r="D555" s="51" t="n"/>
      <c r="E555" s="52" t="n"/>
    </row>
    <row r="556" ht="14.25" customHeight="1" s="96">
      <c r="A556" s="51" t="n"/>
      <c r="B556" s="51" t="n"/>
      <c r="C556" s="51" t="n"/>
      <c r="D556" s="51" t="n"/>
      <c r="E556" s="52" t="n"/>
    </row>
    <row r="557" ht="14.25" customHeight="1" s="96">
      <c r="A557" s="51" t="n"/>
      <c r="B557" s="51" t="n"/>
      <c r="C557" s="51" t="n"/>
      <c r="D557" s="51" t="n"/>
      <c r="E557" s="52" t="n"/>
    </row>
    <row r="558" ht="14.25" customHeight="1" s="96">
      <c r="A558" s="51" t="n"/>
      <c r="B558" s="51" t="n"/>
      <c r="C558" s="51" t="n"/>
      <c r="D558" s="51" t="n"/>
      <c r="E558" s="52" t="n"/>
    </row>
    <row r="559" ht="14.25" customHeight="1" s="96">
      <c r="A559" s="51" t="n"/>
      <c r="B559" s="51" t="n"/>
      <c r="C559" s="51" t="n"/>
      <c r="D559" s="51" t="n"/>
      <c r="E559" s="52" t="n"/>
    </row>
    <row r="560" ht="14.25" customHeight="1" s="96">
      <c r="A560" s="51" t="n"/>
      <c r="B560" s="51" t="n"/>
      <c r="C560" s="51" t="n"/>
      <c r="D560" s="51" t="n"/>
      <c r="E560" s="52" t="n"/>
    </row>
    <row r="561" ht="14.25" customHeight="1" s="96">
      <c r="A561" s="51" t="n"/>
      <c r="B561" s="51" t="n"/>
      <c r="C561" s="51" t="n"/>
      <c r="D561" s="51" t="n"/>
      <c r="E561" s="52" t="n"/>
    </row>
    <row r="562" ht="14.25" customHeight="1" s="96">
      <c r="A562" s="51" t="n"/>
      <c r="B562" s="51" t="n"/>
      <c r="C562" s="51" t="n"/>
      <c r="D562" s="51" t="n"/>
      <c r="E562" s="52" t="n"/>
    </row>
    <row r="563" ht="14.25" customHeight="1" s="96">
      <c r="A563" s="51" t="n"/>
      <c r="B563" s="51" t="n"/>
      <c r="C563" s="51" t="n"/>
      <c r="D563" s="51" t="n"/>
      <c r="E563" s="52" t="n"/>
    </row>
    <row r="564" ht="14.25" customHeight="1" s="96">
      <c r="A564" s="51" t="n"/>
      <c r="B564" s="51" t="n"/>
      <c r="C564" s="51" t="n"/>
      <c r="D564" s="51" t="n"/>
      <c r="E564" s="52" t="n"/>
    </row>
    <row r="565" ht="14.25" customHeight="1" s="96">
      <c r="A565" s="51" t="n"/>
      <c r="B565" s="51" t="n"/>
      <c r="C565" s="51" t="n"/>
      <c r="D565" s="51" t="n"/>
      <c r="E565" s="52" t="n"/>
    </row>
    <row r="566" ht="14.25" customHeight="1" s="96">
      <c r="A566" s="51" t="n"/>
      <c r="B566" s="51" t="n"/>
      <c r="C566" s="51" t="n"/>
      <c r="D566" s="51" t="n"/>
      <c r="E566" s="52" t="n"/>
    </row>
    <row r="567" ht="14.25" customHeight="1" s="96">
      <c r="A567" s="51" t="n"/>
      <c r="B567" s="51" t="n"/>
      <c r="C567" s="51" t="n"/>
      <c r="D567" s="51" t="n"/>
      <c r="E567" s="52" t="n"/>
    </row>
    <row r="568" ht="14.25" customHeight="1" s="96">
      <c r="A568" s="51" t="n"/>
      <c r="B568" s="51" t="n"/>
      <c r="C568" s="51" t="n"/>
      <c r="D568" s="51" t="n"/>
      <c r="E568" s="52" t="n"/>
    </row>
    <row r="569" ht="14.25" customHeight="1" s="96">
      <c r="A569" s="51" t="n"/>
      <c r="B569" s="51" t="n"/>
      <c r="C569" s="51" t="n"/>
      <c r="D569" s="51" t="n"/>
      <c r="E569" s="52" t="n"/>
    </row>
    <row r="570" ht="14.25" customHeight="1" s="96">
      <c r="A570" s="51" t="n"/>
      <c r="B570" s="51" t="n"/>
      <c r="C570" s="51" t="n"/>
      <c r="D570" s="51" t="n"/>
      <c r="E570" s="52" t="n"/>
    </row>
    <row r="571" ht="14.25" customHeight="1" s="96">
      <c r="A571" s="51" t="n"/>
      <c r="B571" s="51" t="n"/>
      <c r="C571" s="51" t="n"/>
      <c r="D571" s="51" t="n"/>
      <c r="E571" s="52" t="n"/>
    </row>
    <row r="572" ht="14.25" customHeight="1" s="96">
      <c r="A572" s="51" t="n"/>
      <c r="B572" s="51" t="n"/>
      <c r="C572" s="51" t="n"/>
      <c r="D572" s="51" t="n"/>
      <c r="E572" s="52" t="n"/>
    </row>
    <row r="573" ht="14.25" customHeight="1" s="96">
      <c r="A573" s="51" t="n"/>
      <c r="B573" s="51" t="n"/>
      <c r="C573" s="51" t="n"/>
      <c r="D573" s="51" t="n"/>
      <c r="E573" s="52" t="n"/>
    </row>
    <row r="574" ht="14.25" customHeight="1" s="96">
      <c r="A574" s="51" t="n"/>
      <c r="B574" s="51" t="n"/>
      <c r="C574" s="51" t="n"/>
      <c r="D574" s="51" t="n"/>
      <c r="E574" s="52" t="n"/>
    </row>
    <row r="575" ht="14.25" customHeight="1" s="96">
      <c r="A575" s="51" t="n"/>
      <c r="B575" s="51" t="n"/>
      <c r="C575" s="51" t="n"/>
      <c r="D575" s="51" t="n"/>
      <c r="E575" s="52" t="n"/>
    </row>
    <row r="576" ht="14.25" customHeight="1" s="96">
      <c r="A576" s="51" t="n"/>
      <c r="B576" s="51" t="n"/>
      <c r="C576" s="51" t="n"/>
      <c r="D576" s="51" t="n"/>
      <c r="E576" s="52" t="n"/>
    </row>
    <row r="577" ht="14.25" customHeight="1" s="96">
      <c r="A577" s="51" t="n"/>
      <c r="B577" s="51" t="n"/>
      <c r="C577" s="51" t="n"/>
      <c r="D577" s="51" t="n"/>
      <c r="E577" s="52" t="n"/>
    </row>
    <row r="578" ht="14.25" customHeight="1" s="96">
      <c r="A578" s="51" t="n"/>
      <c r="B578" s="51" t="n"/>
      <c r="C578" s="51" t="n"/>
      <c r="D578" s="51" t="n"/>
      <c r="E578" s="52" t="n"/>
    </row>
    <row r="579" ht="14.25" customHeight="1" s="96">
      <c r="A579" s="51" t="n"/>
      <c r="B579" s="51" t="n"/>
      <c r="C579" s="51" t="n"/>
      <c r="D579" s="51" t="n"/>
      <c r="E579" s="52" t="n"/>
    </row>
    <row r="580" ht="14.25" customHeight="1" s="96">
      <c r="A580" s="51" t="n"/>
      <c r="B580" s="51" t="n"/>
      <c r="C580" s="51" t="n"/>
      <c r="D580" s="51" t="n"/>
      <c r="E580" s="52" t="n"/>
    </row>
    <row r="581" ht="14.25" customHeight="1" s="96">
      <c r="A581" s="51" t="n"/>
      <c r="B581" s="51" t="n"/>
      <c r="C581" s="51" t="n"/>
      <c r="D581" s="51" t="n"/>
      <c r="E581" s="52" t="n"/>
    </row>
    <row r="582" ht="14.25" customHeight="1" s="96">
      <c r="A582" s="51" t="n"/>
      <c r="B582" s="51" t="n"/>
      <c r="C582" s="51" t="n"/>
      <c r="D582" s="51" t="n"/>
      <c r="E582" s="52" t="n"/>
    </row>
    <row r="583" ht="14.25" customHeight="1" s="96">
      <c r="A583" s="51" t="n"/>
      <c r="B583" s="51" t="n"/>
      <c r="C583" s="51" t="n"/>
      <c r="D583" s="51" t="n"/>
      <c r="E583" s="52" t="n"/>
    </row>
    <row r="584" ht="14.25" customHeight="1" s="96">
      <c r="A584" s="51" t="n"/>
      <c r="B584" s="51" t="n"/>
      <c r="C584" s="51" t="n"/>
      <c r="D584" s="51" t="n"/>
      <c r="E584" s="52" t="n"/>
    </row>
    <row r="585" ht="14.25" customHeight="1" s="96">
      <c r="A585" s="51" t="n"/>
      <c r="B585" s="51" t="n"/>
      <c r="C585" s="51" t="n"/>
      <c r="D585" s="51" t="n"/>
      <c r="E585" s="52" t="n"/>
    </row>
    <row r="586" ht="14.25" customHeight="1" s="96">
      <c r="A586" s="51" t="n"/>
      <c r="B586" s="51" t="n"/>
      <c r="C586" s="51" t="n"/>
      <c r="D586" s="51" t="n"/>
      <c r="E586" s="52" t="n"/>
    </row>
    <row r="587" ht="14.25" customHeight="1" s="96">
      <c r="A587" s="51" t="n"/>
      <c r="B587" s="51" t="n"/>
      <c r="C587" s="51" t="n"/>
      <c r="D587" s="51" t="n"/>
      <c r="E587" s="52" t="n"/>
    </row>
    <row r="588" ht="14.25" customHeight="1" s="96">
      <c r="A588" s="51" t="n"/>
      <c r="B588" s="51" t="n"/>
      <c r="C588" s="51" t="n"/>
      <c r="D588" s="51" t="n"/>
      <c r="E588" s="52" t="n"/>
    </row>
    <row r="589" ht="14.25" customHeight="1" s="96">
      <c r="A589" s="51" t="n"/>
      <c r="B589" s="51" t="n"/>
      <c r="C589" s="51" t="n"/>
      <c r="D589" s="51" t="n"/>
      <c r="E589" s="52" t="n"/>
    </row>
    <row r="590" ht="14.25" customHeight="1" s="96">
      <c r="A590" s="51" t="n"/>
      <c r="B590" s="51" t="n"/>
      <c r="C590" s="51" t="n"/>
      <c r="D590" s="51" t="n"/>
      <c r="E590" s="52" t="n"/>
    </row>
    <row r="591" ht="14.25" customHeight="1" s="96">
      <c r="A591" s="51" t="n"/>
      <c r="B591" s="51" t="n"/>
      <c r="C591" s="51" t="n"/>
      <c r="D591" s="51" t="n"/>
      <c r="E591" s="52" t="n"/>
    </row>
    <row r="592" ht="14.25" customHeight="1" s="96">
      <c r="A592" s="51" t="n"/>
      <c r="B592" s="51" t="n"/>
      <c r="C592" s="51" t="n"/>
      <c r="D592" s="51" t="n"/>
      <c r="E592" s="52" t="n"/>
    </row>
    <row r="593" ht="14.25" customHeight="1" s="96">
      <c r="A593" s="51" t="n"/>
      <c r="B593" s="51" t="n"/>
      <c r="C593" s="51" t="n"/>
      <c r="D593" s="51" t="n"/>
      <c r="E593" s="52" t="n"/>
    </row>
    <row r="594" ht="14.25" customHeight="1" s="96">
      <c r="A594" s="51" t="n"/>
      <c r="B594" s="51" t="n"/>
      <c r="C594" s="51" t="n"/>
      <c r="D594" s="51" t="n"/>
      <c r="E594" s="52" t="n"/>
    </row>
    <row r="595" ht="14.25" customHeight="1" s="96">
      <c r="A595" s="51" t="n"/>
      <c r="B595" s="51" t="n"/>
      <c r="C595" s="51" t="n"/>
      <c r="D595" s="51" t="n"/>
      <c r="E595" s="52" t="n"/>
    </row>
    <row r="596" ht="14.25" customHeight="1" s="96">
      <c r="A596" s="51" t="n"/>
      <c r="B596" s="51" t="n"/>
      <c r="C596" s="51" t="n"/>
      <c r="D596" s="51" t="n"/>
      <c r="E596" s="52" t="n"/>
    </row>
    <row r="597" ht="14.25" customHeight="1" s="96">
      <c r="A597" s="51" t="n"/>
      <c r="B597" s="51" t="n"/>
      <c r="C597" s="51" t="n"/>
      <c r="D597" s="51" t="n"/>
      <c r="E597" s="52" t="n"/>
    </row>
    <row r="598" ht="14.25" customHeight="1" s="96">
      <c r="A598" s="51" t="n"/>
      <c r="B598" s="51" t="n"/>
      <c r="C598" s="51" t="n"/>
      <c r="D598" s="51" t="n"/>
      <c r="E598" s="52" t="n"/>
    </row>
    <row r="599" ht="14.25" customHeight="1" s="96">
      <c r="A599" s="51" t="n"/>
      <c r="B599" s="51" t="n"/>
      <c r="C599" s="51" t="n"/>
      <c r="D599" s="51" t="n"/>
      <c r="E599" s="52" t="n"/>
    </row>
    <row r="600" ht="14.25" customHeight="1" s="96">
      <c r="A600" s="51" t="n"/>
      <c r="B600" s="51" t="n"/>
      <c r="C600" s="51" t="n"/>
      <c r="D600" s="51" t="n"/>
      <c r="E600" s="52" t="n"/>
    </row>
    <row r="601" ht="14.25" customHeight="1" s="96">
      <c r="A601" s="51" t="n"/>
      <c r="B601" s="51" t="n"/>
      <c r="C601" s="51" t="n"/>
      <c r="D601" s="51" t="n"/>
      <c r="E601" s="52" t="n"/>
    </row>
    <row r="602" ht="14.25" customHeight="1" s="96">
      <c r="A602" s="51" t="n"/>
      <c r="B602" s="51" t="n"/>
      <c r="C602" s="51" t="n"/>
      <c r="D602" s="51" t="n"/>
      <c r="E602" s="52" t="n"/>
    </row>
    <row r="603" ht="14.25" customHeight="1" s="96">
      <c r="A603" s="51" t="n"/>
      <c r="B603" s="51" t="n"/>
      <c r="C603" s="51" t="n"/>
      <c r="D603" s="51" t="n"/>
      <c r="E603" s="52" t="n"/>
    </row>
    <row r="604" ht="14.25" customHeight="1" s="96">
      <c r="A604" s="51" t="n"/>
      <c r="B604" s="51" t="n"/>
      <c r="C604" s="51" t="n"/>
      <c r="D604" s="51" t="n"/>
      <c r="E604" s="52" t="n"/>
    </row>
    <row r="605" ht="14.25" customHeight="1" s="96">
      <c r="A605" s="51" t="n"/>
      <c r="B605" s="51" t="n"/>
      <c r="C605" s="51" t="n"/>
      <c r="D605" s="51" t="n"/>
      <c r="E605" s="52" t="n"/>
    </row>
    <row r="606" ht="14.25" customHeight="1" s="96">
      <c r="A606" s="51" t="n"/>
      <c r="B606" s="51" t="n"/>
      <c r="C606" s="51" t="n"/>
      <c r="D606" s="51" t="n"/>
      <c r="E606" s="52" t="n"/>
    </row>
    <row r="607" ht="14.25" customHeight="1" s="96">
      <c r="A607" s="51" t="n"/>
      <c r="B607" s="51" t="n"/>
      <c r="C607" s="51" t="n"/>
      <c r="D607" s="51" t="n"/>
      <c r="E607" s="52" t="n"/>
    </row>
    <row r="608" ht="14.25" customHeight="1" s="96">
      <c r="A608" s="51" t="n"/>
      <c r="B608" s="51" t="n"/>
      <c r="C608" s="51" t="n"/>
      <c r="D608" s="51" t="n"/>
      <c r="E608" s="52" t="n"/>
    </row>
    <row r="609" ht="14.25" customHeight="1" s="96">
      <c r="A609" s="51" t="n"/>
      <c r="B609" s="51" t="n"/>
      <c r="C609" s="51" t="n"/>
      <c r="D609" s="51" t="n"/>
      <c r="E609" s="52" t="n"/>
    </row>
    <row r="610" ht="14.25" customHeight="1" s="96">
      <c r="A610" s="51" t="n"/>
      <c r="B610" s="51" t="n"/>
      <c r="C610" s="51" t="n"/>
      <c r="D610" s="51" t="n"/>
      <c r="E610" s="52" t="n"/>
    </row>
    <row r="611" ht="14.25" customHeight="1" s="96">
      <c r="A611" s="51" t="n"/>
      <c r="B611" s="51" t="n"/>
      <c r="C611" s="51" t="n"/>
      <c r="D611" s="51" t="n"/>
      <c r="E611" s="52" t="n"/>
    </row>
    <row r="612" ht="14.25" customHeight="1" s="96">
      <c r="A612" s="51" t="n"/>
      <c r="B612" s="51" t="n"/>
      <c r="C612" s="51" t="n"/>
      <c r="D612" s="51" t="n"/>
      <c r="E612" s="52" t="n"/>
    </row>
    <row r="613" ht="14.25" customHeight="1" s="96">
      <c r="A613" s="51" t="n"/>
      <c r="B613" s="51" t="n"/>
      <c r="C613" s="51" t="n"/>
      <c r="D613" s="51" t="n"/>
      <c r="E613" s="52" t="n"/>
    </row>
    <row r="614" ht="14.25" customHeight="1" s="96">
      <c r="A614" s="51" t="n"/>
      <c r="B614" s="51" t="n"/>
      <c r="C614" s="51" t="n"/>
      <c r="D614" s="51" t="n"/>
      <c r="E614" s="52" t="n"/>
    </row>
    <row r="615" ht="14.25" customHeight="1" s="96">
      <c r="A615" s="51" t="n"/>
      <c r="B615" s="51" t="n"/>
      <c r="C615" s="51" t="n"/>
      <c r="D615" s="51" t="n"/>
      <c r="E615" s="52" t="n"/>
    </row>
    <row r="616" ht="14.25" customHeight="1" s="96">
      <c r="A616" s="51" t="n"/>
      <c r="B616" s="51" t="n"/>
      <c r="C616" s="51" t="n"/>
      <c r="D616" s="51" t="n"/>
      <c r="E616" s="52" t="n"/>
    </row>
    <row r="617" ht="14.25" customHeight="1" s="96">
      <c r="A617" s="51" t="n"/>
      <c r="B617" s="51" t="n"/>
      <c r="C617" s="51" t="n"/>
      <c r="D617" s="51" t="n"/>
      <c r="E617" s="52" t="n"/>
    </row>
    <row r="618" ht="14.25" customHeight="1" s="96">
      <c r="A618" s="51" t="n"/>
      <c r="B618" s="51" t="n"/>
      <c r="C618" s="51" t="n"/>
      <c r="D618" s="51" t="n"/>
      <c r="E618" s="52" t="n"/>
    </row>
    <row r="619" ht="14.25" customHeight="1" s="96">
      <c r="A619" s="51" t="n"/>
      <c r="B619" s="51" t="n"/>
      <c r="C619" s="51" t="n"/>
      <c r="D619" s="51" t="n"/>
      <c r="E619" s="52" t="n"/>
    </row>
    <row r="620" ht="14.25" customHeight="1" s="96">
      <c r="A620" s="51" t="n"/>
      <c r="B620" s="51" t="n"/>
      <c r="C620" s="51" t="n"/>
      <c r="D620" s="51" t="n"/>
      <c r="E620" s="52" t="n"/>
    </row>
    <row r="621" ht="14.25" customHeight="1" s="96">
      <c r="A621" s="51" t="n"/>
      <c r="B621" s="51" t="n"/>
      <c r="C621" s="51" t="n"/>
      <c r="D621" s="51" t="n"/>
      <c r="E621" s="52" t="n"/>
    </row>
    <row r="622" ht="14.25" customHeight="1" s="96">
      <c r="A622" s="51" t="n"/>
      <c r="B622" s="51" t="n"/>
      <c r="C622" s="51" t="n"/>
      <c r="D622" s="51" t="n"/>
      <c r="E622" s="52" t="n"/>
    </row>
    <row r="623" ht="14.25" customHeight="1" s="96">
      <c r="A623" s="51" t="n"/>
      <c r="B623" s="51" t="n"/>
      <c r="C623" s="51" t="n"/>
      <c r="D623" s="51" t="n"/>
      <c r="E623" s="52" t="n"/>
    </row>
    <row r="624" ht="14.25" customHeight="1" s="96">
      <c r="A624" s="51" t="n"/>
      <c r="B624" s="51" t="n"/>
      <c r="C624" s="51" t="n"/>
      <c r="D624" s="51" t="n"/>
      <c r="E624" s="52" t="n"/>
    </row>
    <row r="625" ht="14.25" customHeight="1" s="96">
      <c r="A625" s="51" t="n"/>
      <c r="B625" s="51" t="n"/>
      <c r="C625" s="51" t="n"/>
      <c r="D625" s="51" t="n"/>
      <c r="E625" s="52" t="n"/>
    </row>
    <row r="626" ht="14.25" customHeight="1" s="96">
      <c r="A626" s="51" t="n"/>
      <c r="B626" s="51" t="n"/>
      <c r="C626" s="51" t="n"/>
      <c r="D626" s="51" t="n"/>
      <c r="E626" s="52" t="n"/>
    </row>
    <row r="627" ht="14.25" customHeight="1" s="96">
      <c r="A627" s="51" t="n"/>
      <c r="B627" s="51" t="n"/>
      <c r="C627" s="51" t="n"/>
      <c r="D627" s="51" t="n"/>
      <c r="E627" s="52" t="n"/>
    </row>
    <row r="628" ht="14.25" customHeight="1" s="96">
      <c r="A628" s="51" t="n"/>
      <c r="B628" s="51" t="n"/>
      <c r="C628" s="51" t="n"/>
      <c r="D628" s="51" t="n"/>
      <c r="E628" s="52" t="n"/>
    </row>
    <row r="629" ht="14.25" customHeight="1" s="96">
      <c r="A629" s="51" t="n"/>
      <c r="B629" s="51" t="n"/>
      <c r="C629" s="51" t="n"/>
      <c r="D629" s="51" t="n"/>
      <c r="E629" s="52" t="n"/>
    </row>
    <row r="630" ht="14.25" customHeight="1" s="96">
      <c r="A630" s="51" t="n"/>
      <c r="B630" s="51" t="n"/>
      <c r="C630" s="51" t="n"/>
      <c r="D630" s="51" t="n"/>
      <c r="E630" s="52" t="n"/>
    </row>
    <row r="631" ht="14.25" customHeight="1" s="96">
      <c r="A631" s="51" t="n"/>
      <c r="B631" s="51" t="n"/>
      <c r="C631" s="51" t="n"/>
      <c r="D631" s="51" t="n"/>
      <c r="E631" s="52" t="n"/>
    </row>
    <row r="632" ht="14.25" customHeight="1" s="96">
      <c r="A632" s="51" t="n"/>
      <c r="B632" s="51" t="n"/>
      <c r="C632" s="51" t="n"/>
      <c r="D632" s="51" t="n"/>
      <c r="E632" s="52" t="n"/>
    </row>
    <row r="633" ht="14.25" customHeight="1" s="96">
      <c r="A633" s="51" t="n"/>
      <c r="B633" s="51" t="n"/>
      <c r="C633" s="51" t="n"/>
      <c r="D633" s="51" t="n"/>
      <c r="E633" s="52" t="n"/>
    </row>
    <row r="634" ht="14.25" customHeight="1" s="96">
      <c r="A634" s="51" t="n"/>
      <c r="B634" s="51" t="n"/>
      <c r="C634" s="51" t="n"/>
      <c r="D634" s="51" t="n"/>
      <c r="E634" s="52" t="n"/>
    </row>
    <row r="635" ht="14.25" customHeight="1" s="96">
      <c r="A635" s="51" t="n"/>
      <c r="B635" s="51" t="n"/>
      <c r="C635" s="51" t="n"/>
      <c r="D635" s="51" t="n"/>
      <c r="E635" s="52" t="n"/>
    </row>
    <row r="636" ht="14.25" customHeight="1" s="96">
      <c r="A636" s="51" t="n"/>
      <c r="B636" s="51" t="n"/>
      <c r="C636" s="51" t="n"/>
      <c r="D636" s="51" t="n"/>
      <c r="E636" s="52" t="n"/>
    </row>
    <row r="637" ht="14.25" customHeight="1" s="96">
      <c r="A637" s="51" t="n"/>
      <c r="B637" s="51" t="n"/>
      <c r="C637" s="51" t="n"/>
      <c r="D637" s="51" t="n"/>
      <c r="E637" s="52" t="n"/>
    </row>
    <row r="638" ht="14.25" customHeight="1" s="96">
      <c r="A638" s="51" t="n"/>
      <c r="B638" s="51" t="n"/>
      <c r="C638" s="51" t="n"/>
      <c r="D638" s="51" t="n"/>
      <c r="E638" s="52" t="n"/>
    </row>
    <row r="639" ht="14.25" customHeight="1" s="96">
      <c r="A639" s="51" t="n"/>
      <c r="B639" s="51" t="n"/>
      <c r="C639" s="51" t="n"/>
      <c r="D639" s="51" t="n"/>
      <c r="E639" s="52" t="n"/>
    </row>
    <row r="640" ht="14.25" customHeight="1" s="96">
      <c r="A640" s="51" t="n"/>
      <c r="B640" s="51" t="n"/>
      <c r="C640" s="51" t="n"/>
      <c r="D640" s="51" t="n"/>
      <c r="E640" s="52" t="n"/>
    </row>
    <row r="641" ht="14.25" customHeight="1" s="96">
      <c r="A641" s="51" t="n"/>
      <c r="B641" s="51" t="n"/>
      <c r="C641" s="51" t="n"/>
      <c r="D641" s="51" t="n"/>
      <c r="E641" s="52" t="n"/>
    </row>
    <row r="642" ht="14.25" customHeight="1" s="96">
      <c r="A642" s="51" t="n"/>
      <c r="B642" s="51" t="n"/>
      <c r="C642" s="51" t="n"/>
      <c r="D642" s="51" t="n"/>
      <c r="E642" s="52" t="n"/>
    </row>
    <row r="643" ht="14.25" customHeight="1" s="96">
      <c r="A643" s="51" t="n"/>
      <c r="B643" s="51" t="n"/>
      <c r="C643" s="51" t="n"/>
      <c r="D643" s="51" t="n"/>
      <c r="E643" s="52" t="n"/>
    </row>
    <row r="644" ht="14.25" customHeight="1" s="96">
      <c r="A644" s="51" t="n"/>
      <c r="B644" s="51" t="n"/>
      <c r="C644" s="51" t="n"/>
      <c r="D644" s="51" t="n"/>
      <c r="E644" s="52" t="n"/>
    </row>
    <row r="645" ht="14.25" customHeight="1" s="96">
      <c r="A645" s="51" t="n"/>
      <c r="B645" s="51" t="n"/>
      <c r="C645" s="51" t="n"/>
      <c r="D645" s="51" t="n"/>
      <c r="E645" s="52" t="n"/>
    </row>
    <row r="646" ht="14.25" customHeight="1" s="96">
      <c r="A646" s="51" t="n"/>
      <c r="B646" s="51" t="n"/>
      <c r="C646" s="51" t="n"/>
      <c r="D646" s="51" t="n"/>
      <c r="E646" s="52" t="n"/>
    </row>
    <row r="647" ht="14.25" customHeight="1" s="96">
      <c r="A647" s="51" t="n"/>
      <c r="B647" s="51" t="n"/>
      <c r="C647" s="51" t="n"/>
      <c r="D647" s="51" t="n"/>
      <c r="E647" s="52" t="n"/>
    </row>
    <row r="648" ht="14.25" customHeight="1" s="96">
      <c r="A648" s="51" t="n"/>
      <c r="B648" s="51" t="n"/>
      <c r="C648" s="51" t="n"/>
      <c r="D648" s="51" t="n"/>
      <c r="E648" s="52" t="n"/>
    </row>
    <row r="649" ht="14.25" customHeight="1" s="96">
      <c r="A649" s="51" t="n"/>
      <c r="B649" s="51" t="n"/>
      <c r="C649" s="51" t="n"/>
      <c r="D649" s="51" t="n"/>
      <c r="E649" s="52" t="n"/>
    </row>
    <row r="650" ht="14.25" customHeight="1" s="96">
      <c r="A650" s="51" t="n"/>
      <c r="B650" s="51" t="n"/>
      <c r="C650" s="51" t="n"/>
      <c r="D650" s="51" t="n"/>
      <c r="E650" s="52" t="n"/>
    </row>
    <row r="651" ht="14.25" customHeight="1" s="96">
      <c r="A651" s="51" t="n"/>
      <c r="B651" s="51" t="n"/>
      <c r="C651" s="51" t="n"/>
      <c r="D651" s="51" t="n"/>
      <c r="E651" s="52" t="n"/>
    </row>
    <row r="652" ht="14.25" customHeight="1" s="96">
      <c r="A652" s="51" t="n"/>
      <c r="B652" s="51" t="n"/>
      <c r="C652" s="51" t="n"/>
      <c r="D652" s="51" t="n"/>
      <c r="E652" s="52" t="n"/>
    </row>
    <row r="653" ht="14.25" customHeight="1" s="96">
      <c r="A653" s="51" t="n"/>
      <c r="B653" s="51" t="n"/>
      <c r="C653" s="51" t="n"/>
      <c r="D653" s="51" t="n"/>
      <c r="E653" s="52" t="n"/>
    </row>
    <row r="654" ht="14.25" customHeight="1" s="96">
      <c r="A654" s="51" t="n"/>
      <c r="B654" s="51" t="n"/>
      <c r="C654" s="51" t="n"/>
      <c r="D654" s="51" t="n"/>
      <c r="E654" s="52" t="n"/>
    </row>
    <row r="655" ht="14.25" customHeight="1" s="96">
      <c r="A655" s="51" t="n"/>
      <c r="B655" s="51" t="n"/>
      <c r="C655" s="51" t="n"/>
      <c r="D655" s="51" t="n"/>
      <c r="E655" s="52" t="n"/>
    </row>
    <row r="656" ht="14.25" customHeight="1" s="96">
      <c r="A656" s="51" t="n"/>
      <c r="B656" s="51" t="n"/>
      <c r="C656" s="51" t="n"/>
      <c r="D656" s="51" t="n"/>
      <c r="E656" s="52" t="n"/>
    </row>
    <row r="657" ht="14.25" customHeight="1" s="96">
      <c r="A657" s="51" t="n"/>
      <c r="B657" s="51" t="n"/>
      <c r="C657" s="51" t="n"/>
      <c r="D657" s="51" t="n"/>
      <c r="E657" s="52" t="n"/>
    </row>
    <row r="658" ht="14.25" customHeight="1" s="96">
      <c r="A658" s="51" t="n"/>
      <c r="B658" s="51" t="n"/>
      <c r="C658" s="51" t="n"/>
      <c r="D658" s="51" t="n"/>
      <c r="E658" s="52" t="n"/>
    </row>
    <row r="659" ht="14.25" customHeight="1" s="96">
      <c r="A659" s="51" t="n"/>
      <c r="B659" s="51" t="n"/>
      <c r="C659" s="51" t="n"/>
      <c r="D659" s="51" t="n"/>
      <c r="E659" s="52" t="n"/>
    </row>
    <row r="660" ht="14.25" customHeight="1" s="96">
      <c r="A660" s="51" t="n"/>
      <c r="B660" s="51" t="n"/>
      <c r="C660" s="51" t="n"/>
      <c r="D660" s="51" t="n"/>
      <c r="E660" s="52" t="n"/>
    </row>
    <row r="661" ht="14.25" customHeight="1" s="96">
      <c r="A661" s="51" t="n"/>
      <c r="B661" s="51" t="n"/>
      <c r="C661" s="51" t="n"/>
      <c r="D661" s="51" t="n"/>
      <c r="E661" s="52" t="n"/>
    </row>
    <row r="662" ht="14.25" customHeight="1" s="96">
      <c r="A662" s="51" t="n"/>
      <c r="B662" s="51" t="n"/>
      <c r="C662" s="51" t="n"/>
      <c r="D662" s="51" t="n"/>
      <c r="E662" s="52" t="n"/>
    </row>
    <row r="663" ht="14.25" customHeight="1" s="96">
      <c r="A663" s="51" t="n"/>
      <c r="B663" s="51" t="n"/>
      <c r="C663" s="51" t="n"/>
      <c r="D663" s="51" t="n"/>
      <c r="E663" s="52" t="n"/>
    </row>
    <row r="664" ht="14.25" customHeight="1" s="96">
      <c r="A664" s="51" t="n"/>
      <c r="B664" s="51" t="n"/>
      <c r="C664" s="51" t="n"/>
      <c r="D664" s="51" t="n"/>
      <c r="E664" s="52" t="n"/>
    </row>
    <row r="665" ht="14.25" customHeight="1" s="96">
      <c r="A665" s="51" t="n"/>
      <c r="B665" s="51" t="n"/>
      <c r="C665" s="51" t="n"/>
      <c r="D665" s="51" t="n"/>
      <c r="E665" s="52" t="n"/>
    </row>
    <row r="666" ht="14.25" customHeight="1" s="96">
      <c r="A666" s="51" t="n"/>
      <c r="B666" s="51" t="n"/>
      <c r="C666" s="51" t="n"/>
      <c r="D666" s="51" t="n"/>
      <c r="E666" s="52" t="n"/>
    </row>
    <row r="667" ht="14.25" customHeight="1" s="96">
      <c r="A667" s="51" t="n"/>
      <c r="B667" s="51" t="n"/>
      <c r="C667" s="51" t="n"/>
      <c r="D667" s="51" t="n"/>
      <c r="E667" s="52" t="n"/>
    </row>
    <row r="668" ht="14.25" customHeight="1" s="96">
      <c r="A668" s="51" t="n"/>
      <c r="B668" s="51" t="n"/>
      <c r="C668" s="51" t="n"/>
      <c r="D668" s="51" t="n"/>
      <c r="E668" s="52" t="n"/>
    </row>
    <row r="669" ht="14.25" customHeight="1" s="96">
      <c r="A669" s="51" t="n"/>
      <c r="B669" s="51" t="n"/>
      <c r="C669" s="51" t="n"/>
      <c r="D669" s="51" t="n"/>
      <c r="E669" s="52" t="n"/>
    </row>
    <row r="670" ht="14.25" customHeight="1" s="96">
      <c r="A670" s="51" t="n"/>
      <c r="B670" s="51" t="n"/>
      <c r="C670" s="51" t="n"/>
      <c r="D670" s="51" t="n"/>
      <c r="E670" s="52" t="n"/>
    </row>
    <row r="671" ht="14.25" customHeight="1" s="96">
      <c r="A671" s="51" t="n"/>
      <c r="B671" s="51" t="n"/>
      <c r="C671" s="51" t="n"/>
      <c r="D671" s="51" t="n"/>
      <c r="E671" s="52" t="n"/>
    </row>
    <row r="672" ht="14.25" customHeight="1" s="96">
      <c r="A672" s="51" t="n"/>
      <c r="B672" s="51" t="n"/>
      <c r="C672" s="51" t="n"/>
      <c r="D672" s="51" t="n"/>
      <c r="E672" s="52" t="n"/>
    </row>
    <row r="673" ht="14.25" customHeight="1" s="96">
      <c r="A673" s="51" t="n"/>
      <c r="B673" s="51" t="n"/>
      <c r="C673" s="51" t="n"/>
      <c r="D673" s="51" t="n"/>
      <c r="E673" s="52" t="n"/>
    </row>
    <row r="674" ht="14.25" customHeight="1" s="96">
      <c r="A674" s="51" t="n"/>
      <c r="B674" s="51" t="n"/>
      <c r="C674" s="51" t="n"/>
      <c r="D674" s="51" t="n"/>
      <c r="E674" s="52" t="n"/>
    </row>
    <row r="675" ht="14.25" customHeight="1" s="96">
      <c r="A675" s="51" t="n"/>
      <c r="B675" s="51" t="n"/>
      <c r="C675" s="51" t="n"/>
      <c r="D675" s="51" t="n"/>
      <c r="E675" s="52" t="n"/>
    </row>
    <row r="676" ht="14.25" customHeight="1" s="96">
      <c r="A676" s="51" t="n"/>
      <c r="B676" s="51" t="n"/>
      <c r="C676" s="51" t="n"/>
      <c r="D676" s="51" t="n"/>
      <c r="E676" s="52" t="n"/>
    </row>
    <row r="677" ht="14.25" customHeight="1" s="96">
      <c r="A677" s="51" t="n"/>
      <c r="B677" s="51" t="n"/>
      <c r="C677" s="51" t="n"/>
      <c r="D677" s="51" t="n"/>
      <c r="E677" s="52" t="n"/>
    </row>
    <row r="678" ht="14.25" customHeight="1" s="96">
      <c r="A678" s="51" t="n"/>
      <c r="B678" s="51" t="n"/>
      <c r="C678" s="51" t="n"/>
      <c r="D678" s="51" t="n"/>
      <c r="E678" s="52" t="n"/>
    </row>
    <row r="679" ht="14.25" customHeight="1" s="96">
      <c r="A679" s="51" t="n"/>
      <c r="B679" s="51" t="n"/>
      <c r="C679" s="51" t="n"/>
      <c r="D679" s="51" t="n"/>
      <c r="E679" s="52" t="n"/>
    </row>
    <row r="680" ht="14.25" customHeight="1" s="96">
      <c r="A680" s="51" t="n"/>
      <c r="B680" s="51" t="n"/>
      <c r="C680" s="51" t="n"/>
      <c r="D680" s="51" t="n"/>
      <c r="E680" s="52" t="n"/>
    </row>
    <row r="681" ht="14.25" customHeight="1" s="96">
      <c r="A681" s="51" t="n"/>
      <c r="B681" s="51" t="n"/>
      <c r="C681" s="51" t="n"/>
      <c r="D681" s="51" t="n"/>
      <c r="E681" s="52" t="n"/>
    </row>
    <row r="682" ht="14.25" customHeight="1" s="96">
      <c r="A682" s="51" t="n"/>
      <c r="B682" s="51" t="n"/>
      <c r="C682" s="51" t="n"/>
      <c r="D682" s="51" t="n"/>
      <c r="E682" s="52" t="n"/>
    </row>
    <row r="683" ht="14.25" customHeight="1" s="96">
      <c r="A683" s="51" t="n"/>
      <c r="B683" s="51" t="n"/>
      <c r="C683" s="51" t="n"/>
      <c r="D683" s="51" t="n"/>
      <c r="E683" s="52" t="n"/>
    </row>
    <row r="684" ht="14.25" customHeight="1" s="96">
      <c r="A684" s="51" t="n"/>
      <c r="B684" s="51" t="n"/>
      <c r="C684" s="51" t="n"/>
      <c r="D684" s="51" t="n"/>
      <c r="E684" s="52" t="n"/>
    </row>
    <row r="685" ht="14.25" customHeight="1" s="96">
      <c r="A685" s="51" t="n"/>
      <c r="B685" s="51" t="n"/>
      <c r="C685" s="51" t="n"/>
      <c r="D685" s="51" t="n"/>
      <c r="E685" s="52" t="n"/>
    </row>
    <row r="686" ht="14.25" customHeight="1" s="96">
      <c r="A686" s="51" t="n"/>
      <c r="B686" s="51" t="n"/>
      <c r="C686" s="51" t="n"/>
      <c r="D686" s="51" t="n"/>
      <c r="E686" s="52" t="n"/>
    </row>
    <row r="687" ht="14.25" customHeight="1" s="96">
      <c r="A687" s="51" t="n"/>
      <c r="B687" s="51" t="n"/>
      <c r="C687" s="51" t="n"/>
      <c r="D687" s="51" t="n"/>
      <c r="E687" s="52" t="n"/>
    </row>
    <row r="688" ht="14.25" customHeight="1" s="96">
      <c r="A688" s="51" t="n"/>
      <c r="B688" s="51" t="n"/>
      <c r="C688" s="51" t="n"/>
      <c r="D688" s="51" t="n"/>
      <c r="E688" s="52" t="n"/>
    </row>
    <row r="689" ht="14.25" customHeight="1" s="96">
      <c r="A689" s="51" t="n"/>
      <c r="B689" s="51" t="n"/>
      <c r="C689" s="51" t="n"/>
      <c r="D689" s="51" t="n"/>
      <c r="E689" s="52" t="n"/>
    </row>
    <row r="690" ht="14.25" customHeight="1" s="96">
      <c r="A690" s="51" t="n"/>
      <c r="B690" s="51" t="n"/>
      <c r="C690" s="51" t="n"/>
      <c r="D690" s="51" t="n"/>
      <c r="E690" s="52" t="n"/>
    </row>
    <row r="691" ht="14.25" customHeight="1" s="96">
      <c r="A691" s="51" t="n"/>
      <c r="B691" s="51" t="n"/>
      <c r="C691" s="51" t="n"/>
      <c r="D691" s="51" t="n"/>
      <c r="E691" s="52" t="n"/>
    </row>
    <row r="692" ht="14.25" customHeight="1" s="96">
      <c r="A692" s="51" t="n"/>
      <c r="B692" s="51" t="n"/>
      <c r="C692" s="51" t="n"/>
      <c r="D692" s="51" t="n"/>
      <c r="E692" s="52" t="n"/>
    </row>
    <row r="693" ht="14.25" customHeight="1" s="96">
      <c r="A693" s="51" t="n"/>
      <c r="B693" s="51" t="n"/>
      <c r="C693" s="51" t="n"/>
      <c r="D693" s="51" t="n"/>
      <c r="E693" s="52" t="n"/>
    </row>
    <row r="694" ht="14.25" customHeight="1" s="96">
      <c r="A694" s="51" t="n"/>
      <c r="B694" s="51" t="n"/>
      <c r="C694" s="51" t="n"/>
      <c r="D694" s="51" t="n"/>
      <c r="E694" s="52" t="n"/>
    </row>
    <row r="695" ht="14.25" customHeight="1" s="96">
      <c r="A695" s="51" t="n"/>
      <c r="B695" s="51" t="n"/>
      <c r="C695" s="51" t="n"/>
      <c r="D695" s="51" t="n"/>
      <c r="E695" s="52" t="n"/>
    </row>
    <row r="696" ht="14.25" customHeight="1" s="96">
      <c r="A696" s="51" t="n"/>
      <c r="B696" s="51" t="n"/>
      <c r="C696" s="51" t="n"/>
      <c r="D696" s="51" t="n"/>
      <c r="E696" s="52" t="n"/>
    </row>
    <row r="697" ht="14.25" customHeight="1" s="96">
      <c r="A697" s="51" t="n"/>
      <c r="B697" s="51" t="n"/>
      <c r="C697" s="51" t="n"/>
      <c r="D697" s="51" t="n"/>
      <c r="E697" s="52" t="n"/>
    </row>
    <row r="698" ht="14.25" customHeight="1" s="96">
      <c r="A698" s="51" t="n"/>
      <c r="B698" s="51" t="n"/>
      <c r="C698" s="51" t="n"/>
      <c r="D698" s="51" t="n"/>
      <c r="E698" s="52" t="n"/>
    </row>
    <row r="699" ht="14.25" customHeight="1" s="96">
      <c r="A699" s="51" t="n"/>
      <c r="B699" s="51" t="n"/>
      <c r="C699" s="51" t="n"/>
      <c r="D699" s="51" t="n"/>
      <c r="E699" s="52" t="n"/>
    </row>
    <row r="700" ht="14.25" customHeight="1" s="96">
      <c r="A700" s="51" t="n"/>
      <c r="B700" s="51" t="n"/>
      <c r="C700" s="51" t="n"/>
      <c r="D700" s="51" t="n"/>
      <c r="E700" s="52" t="n"/>
    </row>
    <row r="701" ht="14.25" customHeight="1" s="96">
      <c r="A701" s="51" t="n"/>
      <c r="B701" s="51" t="n"/>
      <c r="C701" s="51" t="n"/>
      <c r="D701" s="51" t="n"/>
      <c r="E701" s="52" t="n"/>
    </row>
    <row r="702" ht="14.25" customHeight="1" s="96">
      <c r="A702" s="51" t="n"/>
      <c r="B702" s="51" t="n"/>
      <c r="C702" s="51" t="n"/>
      <c r="D702" s="51" t="n"/>
      <c r="E702" s="52" t="n"/>
    </row>
    <row r="703" ht="14.25" customHeight="1" s="96">
      <c r="A703" s="51" t="n"/>
      <c r="B703" s="51" t="n"/>
      <c r="C703" s="51" t="n"/>
      <c r="D703" s="51" t="n"/>
      <c r="E703" s="52" t="n"/>
    </row>
    <row r="704" ht="14.25" customHeight="1" s="96">
      <c r="A704" s="51" t="n"/>
      <c r="B704" s="51" t="n"/>
      <c r="C704" s="51" t="n"/>
      <c r="D704" s="51" t="n"/>
      <c r="E704" s="52" t="n"/>
    </row>
    <row r="705" ht="14.25" customHeight="1" s="96">
      <c r="A705" s="51" t="n"/>
      <c r="B705" s="51" t="n"/>
      <c r="C705" s="51" t="n"/>
      <c r="D705" s="51" t="n"/>
      <c r="E705" s="52" t="n"/>
    </row>
    <row r="706" ht="14.25" customHeight="1" s="96">
      <c r="A706" s="51" t="n"/>
      <c r="B706" s="51" t="n"/>
      <c r="C706" s="51" t="n"/>
      <c r="D706" s="51" t="n"/>
      <c r="E706" s="52" t="n"/>
    </row>
    <row r="707" ht="14.25" customHeight="1" s="96">
      <c r="A707" s="51" t="n"/>
      <c r="B707" s="51" t="n"/>
      <c r="C707" s="51" t="n"/>
      <c r="D707" s="51" t="n"/>
      <c r="E707" s="52" t="n"/>
    </row>
    <row r="708" ht="14.25" customHeight="1" s="96">
      <c r="A708" s="51" t="n"/>
      <c r="B708" s="51" t="n"/>
      <c r="C708" s="51" t="n"/>
      <c r="D708" s="51" t="n"/>
      <c r="E708" s="52" t="n"/>
    </row>
    <row r="709" ht="14.25" customHeight="1" s="96">
      <c r="A709" s="51" t="n"/>
      <c r="B709" s="51" t="n"/>
      <c r="C709" s="51" t="n"/>
      <c r="D709" s="51" t="n"/>
      <c r="E709" s="52" t="n"/>
    </row>
    <row r="710" ht="14.25" customHeight="1" s="96">
      <c r="A710" s="51" t="n"/>
      <c r="B710" s="51" t="n"/>
      <c r="C710" s="51" t="n"/>
      <c r="D710" s="51" t="n"/>
      <c r="E710" s="52" t="n"/>
    </row>
    <row r="711" ht="14.25" customHeight="1" s="96">
      <c r="A711" s="51" t="n"/>
      <c r="B711" s="51" t="n"/>
      <c r="C711" s="51" t="n"/>
      <c r="D711" s="51" t="n"/>
      <c r="E711" s="52" t="n"/>
    </row>
    <row r="712" ht="14.25" customHeight="1" s="96">
      <c r="A712" s="51" t="n"/>
      <c r="B712" s="51" t="n"/>
      <c r="C712" s="51" t="n"/>
      <c r="D712" s="51" t="n"/>
      <c r="E712" s="52" t="n"/>
    </row>
    <row r="713" ht="14.25" customHeight="1" s="96">
      <c r="A713" s="51" t="n"/>
      <c r="B713" s="51" t="n"/>
      <c r="C713" s="51" t="n"/>
      <c r="D713" s="51" t="n"/>
      <c r="E713" s="52" t="n"/>
    </row>
    <row r="714" ht="14.25" customHeight="1" s="96">
      <c r="A714" s="51" t="n"/>
      <c r="B714" s="51" t="n"/>
      <c r="C714" s="51" t="n"/>
      <c r="D714" s="51" t="n"/>
      <c r="E714" s="52" t="n"/>
    </row>
    <row r="715" ht="14.25" customHeight="1" s="96">
      <c r="A715" s="51" t="n"/>
      <c r="B715" s="51" t="n"/>
      <c r="C715" s="51" t="n"/>
      <c r="D715" s="51" t="n"/>
      <c r="E715" s="52" t="n"/>
    </row>
    <row r="716" ht="14.25" customHeight="1" s="96">
      <c r="A716" s="51" t="n"/>
      <c r="B716" s="51" t="n"/>
      <c r="C716" s="51" t="n"/>
      <c r="D716" s="51" t="n"/>
      <c r="E716" s="52" t="n"/>
    </row>
    <row r="717" ht="14.25" customHeight="1" s="96">
      <c r="A717" s="51" t="n"/>
      <c r="B717" s="51" t="n"/>
      <c r="C717" s="51" t="n"/>
      <c r="D717" s="51" t="n"/>
      <c r="E717" s="52" t="n"/>
    </row>
    <row r="718" ht="14.25" customHeight="1" s="96">
      <c r="A718" s="51" t="n"/>
      <c r="B718" s="51" t="n"/>
      <c r="C718" s="51" t="n"/>
      <c r="D718" s="51" t="n"/>
      <c r="E718" s="52" t="n"/>
    </row>
    <row r="719" ht="14.25" customHeight="1" s="96">
      <c r="A719" s="51" t="n"/>
      <c r="B719" s="51" t="n"/>
      <c r="C719" s="51" t="n"/>
      <c r="D719" s="51" t="n"/>
      <c r="E719" s="52" t="n"/>
    </row>
    <row r="720" ht="14.25" customHeight="1" s="96">
      <c r="A720" s="51" t="n"/>
      <c r="B720" s="51" t="n"/>
      <c r="C720" s="51" t="n"/>
      <c r="D720" s="51" t="n"/>
      <c r="E720" s="52" t="n"/>
    </row>
    <row r="721" ht="14.25" customHeight="1" s="96">
      <c r="A721" s="51" t="n"/>
      <c r="B721" s="51" t="n"/>
      <c r="C721" s="51" t="n"/>
      <c r="D721" s="51" t="n"/>
      <c r="E721" s="52" t="n"/>
    </row>
    <row r="722" ht="14.25" customHeight="1" s="96">
      <c r="A722" s="51" t="n"/>
      <c r="B722" s="51" t="n"/>
      <c r="C722" s="51" t="n"/>
      <c r="D722" s="51" t="n"/>
      <c r="E722" s="52" t="n"/>
    </row>
    <row r="723" ht="14.25" customHeight="1" s="96">
      <c r="A723" s="51" t="n"/>
      <c r="B723" s="51" t="n"/>
      <c r="C723" s="51" t="n"/>
      <c r="D723" s="51" t="n"/>
      <c r="E723" s="52" t="n"/>
    </row>
    <row r="724" ht="14.25" customHeight="1" s="96">
      <c r="A724" s="51" t="n"/>
      <c r="B724" s="51" t="n"/>
      <c r="C724" s="51" t="n"/>
      <c r="D724" s="51" t="n"/>
      <c r="E724" s="52" t="n"/>
    </row>
    <row r="725" ht="14.25" customHeight="1" s="96">
      <c r="A725" s="51" t="n"/>
      <c r="B725" s="51" t="n"/>
      <c r="C725" s="51" t="n"/>
      <c r="D725" s="51" t="n"/>
      <c r="E725" s="52" t="n"/>
    </row>
    <row r="726" ht="14.25" customHeight="1" s="96">
      <c r="A726" s="51" t="n"/>
      <c r="B726" s="51" t="n"/>
      <c r="C726" s="51" t="n"/>
      <c r="D726" s="51" t="n"/>
      <c r="E726" s="52" t="n"/>
    </row>
    <row r="727" ht="14.25" customHeight="1" s="96">
      <c r="A727" s="51" t="n"/>
      <c r="B727" s="51" t="n"/>
      <c r="C727" s="51" t="n"/>
      <c r="D727" s="51" t="n"/>
      <c r="E727" s="52" t="n"/>
    </row>
    <row r="728" ht="14.25" customHeight="1" s="96">
      <c r="A728" s="51" t="n"/>
      <c r="B728" s="51" t="n"/>
      <c r="C728" s="51" t="n"/>
      <c r="D728" s="51" t="n"/>
      <c r="E728" s="52" t="n"/>
    </row>
    <row r="729" ht="14.25" customHeight="1" s="96">
      <c r="A729" s="51" t="n"/>
      <c r="B729" s="51" t="n"/>
      <c r="C729" s="51" t="n"/>
      <c r="D729" s="51" t="n"/>
      <c r="E729" s="52" t="n"/>
    </row>
    <row r="730" ht="14.25" customHeight="1" s="96">
      <c r="A730" s="51" t="n"/>
      <c r="B730" s="51" t="n"/>
      <c r="C730" s="51" t="n"/>
      <c r="D730" s="51" t="n"/>
      <c r="E730" s="52" t="n"/>
    </row>
    <row r="731" ht="14.25" customHeight="1" s="96">
      <c r="A731" s="51" t="n"/>
      <c r="B731" s="51" t="n"/>
      <c r="C731" s="51" t="n"/>
      <c r="D731" s="51" t="n"/>
      <c r="E731" s="52" t="n"/>
    </row>
    <row r="732" ht="14.25" customHeight="1" s="96">
      <c r="A732" s="51" t="n"/>
      <c r="B732" s="51" t="n"/>
      <c r="C732" s="51" t="n"/>
      <c r="D732" s="51" t="n"/>
      <c r="E732" s="52" t="n"/>
    </row>
    <row r="733" ht="14.25" customHeight="1" s="96">
      <c r="A733" s="51" t="n"/>
      <c r="B733" s="51" t="n"/>
      <c r="C733" s="51" t="n"/>
      <c r="D733" s="51" t="n"/>
      <c r="E733" s="52" t="n"/>
    </row>
    <row r="734" ht="14.25" customHeight="1" s="96">
      <c r="A734" s="51" t="n"/>
      <c r="B734" s="51" t="n"/>
      <c r="C734" s="51" t="n"/>
      <c r="D734" s="51" t="n"/>
      <c r="E734" s="52" t="n"/>
    </row>
    <row r="735" ht="14.25" customHeight="1" s="96">
      <c r="A735" s="51" t="n"/>
      <c r="B735" s="51" t="n"/>
      <c r="C735" s="51" t="n"/>
      <c r="D735" s="51" t="n"/>
      <c r="E735" s="52" t="n"/>
    </row>
    <row r="736" ht="14.25" customHeight="1" s="96">
      <c r="A736" s="51" t="n"/>
      <c r="B736" s="51" t="n"/>
      <c r="C736" s="51" t="n"/>
      <c r="D736" s="51" t="n"/>
      <c r="E736" s="52" t="n"/>
    </row>
    <row r="737" ht="14.25" customHeight="1" s="96">
      <c r="A737" s="51" t="n"/>
      <c r="B737" s="51" t="n"/>
      <c r="C737" s="51" t="n"/>
      <c r="D737" s="51" t="n"/>
      <c r="E737" s="52" t="n"/>
    </row>
    <row r="738" ht="14.25" customHeight="1" s="96">
      <c r="A738" s="51" t="n"/>
      <c r="B738" s="51" t="n"/>
      <c r="C738" s="51" t="n"/>
      <c r="D738" s="51" t="n"/>
      <c r="E738" s="52" t="n"/>
    </row>
    <row r="739" ht="14.25" customHeight="1" s="96">
      <c r="A739" s="51" t="n"/>
      <c r="B739" s="51" t="n"/>
      <c r="C739" s="51" t="n"/>
      <c r="D739" s="51" t="n"/>
      <c r="E739" s="52" t="n"/>
    </row>
    <row r="740" ht="14.25" customHeight="1" s="96">
      <c r="A740" s="51" t="n"/>
      <c r="B740" s="51" t="n"/>
      <c r="C740" s="51" t="n"/>
      <c r="D740" s="51" t="n"/>
      <c r="E740" s="52" t="n"/>
    </row>
    <row r="741" ht="14.25" customHeight="1" s="96">
      <c r="A741" s="51" t="n"/>
      <c r="B741" s="51" t="n"/>
      <c r="C741" s="51" t="n"/>
      <c r="D741" s="51" t="n"/>
      <c r="E741" s="52" t="n"/>
    </row>
    <row r="742" ht="14.25" customHeight="1" s="96">
      <c r="A742" s="51" t="n"/>
      <c r="B742" s="51" t="n"/>
      <c r="C742" s="51" t="n"/>
      <c r="D742" s="51" t="n"/>
      <c r="E742" s="52" t="n"/>
    </row>
    <row r="743" ht="14.25" customHeight="1" s="96">
      <c r="A743" s="51" t="n"/>
      <c r="B743" s="51" t="n"/>
      <c r="C743" s="51" t="n"/>
      <c r="D743" s="51" t="n"/>
      <c r="E743" s="52" t="n"/>
    </row>
    <row r="744" ht="14.25" customHeight="1" s="96">
      <c r="A744" s="51" t="n"/>
      <c r="B744" s="51" t="n"/>
      <c r="C744" s="51" t="n"/>
      <c r="D744" s="51" t="n"/>
      <c r="E744" s="52" t="n"/>
    </row>
    <row r="745" ht="14.25" customHeight="1" s="96">
      <c r="A745" s="51" t="n"/>
      <c r="B745" s="51" t="n"/>
      <c r="C745" s="51" t="n"/>
      <c r="D745" s="51" t="n"/>
      <c r="E745" s="52" t="n"/>
    </row>
    <row r="746" ht="14.25" customHeight="1" s="96">
      <c r="A746" s="51" t="n"/>
      <c r="B746" s="51" t="n"/>
      <c r="C746" s="51" t="n"/>
      <c r="D746" s="51" t="n"/>
      <c r="E746" s="52" t="n"/>
    </row>
    <row r="747" ht="14.25" customHeight="1" s="96">
      <c r="A747" s="51" t="n"/>
      <c r="B747" s="51" t="n"/>
      <c r="C747" s="51" t="n"/>
      <c r="D747" s="51" t="n"/>
      <c r="E747" s="52" t="n"/>
    </row>
    <row r="748" ht="14.25" customHeight="1" s="96">
      <c r="A748" s="51" t="n"/>
      <c r="B748" s="51" t="n"/>
      <c r="C748" s="51" t="n"/>
      <c r="D748" s="51" t="n"/>
      <c r="E748" s="52" t="n"/>
    </row>
    <row r="749" ht="14.25" customHeight="1" s="96">
      <c r="A749" s="51" t="n"/>
      <c r="B749" s="51" t="n"/>
      <c r="C749" s="51" t="n"/>
      <c r="D749" s="51" t="n"/>
      <c r="E749" s="52" t="n"/>
    </row>
    <row r="750" ht="14.25" customHeight="1" s="96">
      <c r="A750" s="51" t="n"/>
      <c r="B750" s="51" t="n"/>
      <c r="C750" s="51" t="n"/>
      <c r="D750" s="51" t="n"/>
      <c r="E750" s="52" t="n"/>
    </row>
    <row r="751" ht="14.25" customHeight="1" s="96">
      <c r="A751" s="51" t="n"/>
      <c r="B751" s="51" t="n"/>
      <c r="C751" s="51" t="n"/>
      <c r="D751" s="51" t="n"/>
      <c r="E751" s="52" t="n"/>
    </row>
    <row r="752" ht="14.25" customHeight="1" s="96">
      <c r="A752" s="51" t="n"/>
      <c r="B752" s="51" t="n"/>
      <c r="C752" s="51" t="n"/>
      <c r="D752" s="51" t="n"/>
      <c r="E752" s="52" t="n"/>
    </row>
    <row r="753" ht="14.25" customHeight="1" s="96">
      <c r="A753" s="51" t="n"/>
      <c r="B753" s="51" t="n"/>
      <c r="C753" s="51" t="n"/>
      <c r="D753" s="51" t="n"/>
      <c r="E753" s="52" t="n"/>
    </row>
    <row r="754" ht="14.25" customHeight="1" s="96">
      <c r="A754" s="51" t="n"/>
      <c r="B754" s="51" t="n"/>
      <c r="C754" s="51" t="n"/>
      <c r="D754" s="51" t="n"/>
      <c r="E754" s="52" t="n"/>
    </row>
    <row r="755" ht="14.25" customHeight="1" s="96">
      <c r="A755" s="51" t="n"/>
      <c r="B755" s="51" t="n"/>
      <c r="C755" s="51" t="n"/>
      <c r="D755" s="51" t="n"/>
      <c r="E755" s="52" t="n"/>
    </row>
    <row r="756" ht="14.25" customHeight="1" s="96">
      <c r="A756" s="51" t="n"/>
      <c r="B756" s="51" t="n"/>
      <c r="C756" s="51" t="n"/>
      <c r="D756" s="51" t="n"/>
      <c r="E756" s="52" t="n"/>
    </row>
    <row r="757" ht="14.25" customHeight="1" s="96">
      <c r="A757" s="51" t="n"/>
      <c r="B757" s="51" t="n"/>
      <c r="C757" s="51" t="n"/>
      <c r="D757" s="51" t="n"/>
      <c r="E757" s="52" t="n"/>
    </row>
    <row r="758" ht="14.25" customHeight="1" s="96">
      <c r="A758" s="51" t="n"/>
      <c r="B758" s="51" t="n"/>
      <c r="C758" s="51" t="n"/>
      <c r="D758" s="51" t="n"/>
      <c r="E758" s="52" t="n"/>
    </row>
    <row r="759" ht="14.25" customHeight="1" s="96">
      <c r="A759" s="51" t="n"/>
      <c r="B759" s="51" t="n"/>
      <c r="C759" s="51" t="n"/>
      <c r="D759" s="51" t="n"/>
      <c r="E759" s="52" t="n"/>
    </row>
    <row r="760" ht="14.25" customHeight="1" s="96">
      <c r="A760" s="51" t="n"/>
      <c r="B760" s="51" t="n"/>
      <c r="C760" s="51" t="n"/>
      <c r="D760" s="51" t="n"/>
      <c r="E760" s="52" t="n"/>
    </row>
    <row r="761" ht="14.25" customHeight="1" s="96">
      <c r="A761" s="51" t="n"/>
      <c r="B761" s="51" t="n"/>
      <c r="C761" s="51" t="n"/>
      <c r="D761" s="51" t="n"/>
      <c r="E761" s="52" t="n"/>
    </row>
    <row r="762" ht="14.25" customHeight="1" s="96">
      <c r="A762" s="51" t="n"/>
      <c r="B762" s="51" t="n"/>
      <c r="C762" s="51" t="n"/>
      <c r="D762" s="51" t="n"/>
      <c r="E762" s="52" t="n"/>
    </row>
    <row r="763" ht="14.25" customHeight="1" s="96">
      <c r="A763" s="51" t="n"/>
      <c r="B763" s="51" t="n"/>
      <c r="C763" s="51" t="n"/>
      <c r="D763" s="51" t="n"/>
      <c r="E763" s="52" t="n"/>
    </row>
    <row r="764" ht="14.25" customHeight="1" s="96">
      <c r="A764" s="51" t="n"/>
      <c r="B764" s="51" t="n"/>
      <c r="C764" s="51" t="n"/>
      <c r="D764" s="51" t="n"/>
      <c r="E764" s="52" t="n"/>
    </row>
    <row r="765" ht="14.25" customHeight="1" s="96">
      <c r="A765" s="51" t="n"/>
      <c r="B765" s="51" t="n"/>
      <c r="C765" s="51" t="n"/>
      <c r="D765" s="51" t="n"/>
      <c r="E765" s="52" t="n"/>
    </row>
    <row r="766" ht="14.25" customHeight="1" s="96">
      <c r="A766" s="51" t="n"/>
      <c r="B766" s="51" t="n"/>
      <c r="C766" s="51" t="n"/>
      <c r="D766" s="51" t="n"/>
      <c r="E766" s="52" t="n"/>
    </row>
    <row r="767" ht="14.25" customHeight="1" s="96">
      <c r="A767" s="51" t="n"/>
      <c r="B767" s="51" t="n"/>
      <c r="C767" s="51" t="n"/>
      <c r="D767" s="51" t="n"/>
      <c r="E767" s="52" t="n"/>
    </row>
    <row r="768" ht="14.25" customHeight="1" s="96">
      <c r="A768" s="51" t="n"/>
      <c r="B768" s="51" t="n"/>
      <c r="C768" s="51" t="n"/>
      <c r="D768" s="51" t="n"/>
      <c r="E768" s="52" t="n"/>
    </row>
    <row r="769" ht="14.25" customHeight="1" s="96">
      <c r="A769" s="51" t="n"/>
      <c r="B769" s="51" t="n"/>
      <c r="C769" s="51" t="n"/>
      <c r="D769" s="51" t="n"/>
      <c r="E769" s="52" t="n"/>
    </row>
    <row r="770" ht="14.25" customHeight="1" s="96">
      <c r="A770" s="51" t="n"/>
      <c r="B770" s="51" t="n"/>
      <c r="C770" s="51" t="n"/>
      <c r="D770" s="51" t="n"/>
      <c r="E770" s="52" t="n"/>
    </row>
    <row r="771" ht="14.25" customHeight="1" s="96">
      <c r="A771" s="51" t="n"/>
      <c r="B771" s="51" t="n"/>
      <c r="C771" s="51" t="n"/>
      <c r="D771" s="51" t="n"/>
      <c r="E771" s="52" t="n"/>
    </row>
    <row r="772" ht="14.25" customHeight="1" s="96">
      <c r="A772" s="51" t="n"/>
      <c r="B772" s="51" t="n"/>
      <c r="C772" s="51" t="n"/>
      <c r="D772" s="51" t="n"/>
      <c r="E772" s="52" t="n"/>
    </row>
    <row r="773" ht="14.25" customHeight="1" s="96">
      <c r="A773" s="51" t="n"/>
      <c r="B773" s="51" t="n"/>
      <c r="C773" s="51" t="n"/>
      <c r="D773" s="51" t="n"/>
      <c r="E773" s="52" t="n"/>
    </row>
    <row r="774" ht="14.25" customHeight="1" s="96">
      <c r="A774" s="51" t="n"/>
      <c r="B774" s="51" t="n"/>
      <c r="C774" s="51" t="n"/>
      <c r="D774" s="51" t="n"/>
      <c r="E774" s="52" t="n"/>
    </row>
    <row r="775" ht="14.25" customHeight="1" s="96">
      <c r="A775" s="51" t="n"/>
      <c r="B775" s="51" t="n"/>
      <c r="C775" s="51" t="n"/>
      <c r="D775" s="51" t="n"/>
      <c r="E775" s="52" t="n"/>
    </row>
    <row r="776" ht="14.25" customHeight="1" s="96">
      <c r="A776" s="51" t="n"/>
      <c r="B776" s="51" t="n"/>
      <c r="C776" s="51" t="n"/>
      <c r="D776" s="51" t="n"/>
      <c r="E776" s="52" t="n"/>
    </row>
    <row r="777" ht="14.25" customHeight="1" s="96">
      <c r="A777" s="51" t="n"/>
      <c r="B777" s="51" t="n"/>
      <c r="C777" s="51" t="n"/>
      <c r="D777" s="51" t="n"/>
      <c r="E777" s="52" t="n"/>
    </row>
    <row r="778" ht="14.25" customHeight="1" s="96">
      <c r="A778" s="51" t="n"/>
      <c r="B778" s="51" t="n"/>
      <c r="C778" s="51" t="n"/>
      <c r="D778" s="51" t="n"/>
      <c r="E778" s="52" t="n"/>
    </row>
    <row r="779" ht="14.25" customHeight="1" s="96">
      <c r="A779" s="51" t="n"/>
      <c r="B779" s="51" t="n"/>
      <c r="C779" s="51" t="n"/>
      <c r="D779" s="51" t="n"/>
      <c r="E779" s="52" t="n"/>
    </row>
    <row r="780" ht="14.25" customHeight="1" s="96">
      <c r="A780" s="51" t="n"/>
      <c r="B780" s="51" t="n"/>
      <c r="C780" s="51" t="n"/>
      <c r="D780" s="51" t="n"/>
      <c r="E780" s="52" t="n"/>
    </row>
    <row r="781" ht="14.25" customHeight="1" s="96">
      <c r="A781" s="51" t="n"/>
      <c r="B781" s="51" t="n"/>
      <c r="C781" s="51" t="n"/>
      <c r="D781" s="51" t="n"/>
      <c r="E781" s="52" t="n"/>
    </row>
    <row r="782" ht="14.25" customHeight="1" s="96">
      <c r="A782" s="51" t="n"/>
      <c r="B782" s="51" t="n"/>
      <c r="C782" s="51" t="n"/>
      <c r="D782" s="51" t="n"/>
      <c r="E782" s="52" t="n"/>
    </row>
    <row r="783" ht="14.25" customHeight="1" s="96">
      <c r="A783" s="51" t="n"/>
      <c r="B783" s="51" t="n"/>
      <c r="C783" s="51" t="n"/>
      <c r="D783" s="51" t="n"/>
      <c r="E783" s="52" t="n"/>
    </row>
    <row r="784" ht="14.25" customHeight="1" s="96">
      <c r="A784" s="51" t="n"/>
      <c r="B784" s="51" t="n"/>
      <c r="C784" s="51" t="n"/>
      <c r="D784" s="51" t="n"/>
      <c r="E784" s="52" t="n"/>
    </row>
    <row r="785" ht="14.25" customHeight="1" s="96">
      <c r="A785" s="51" t="n"/>
      <c r="B785" s="51" t="n"/>
      <c r="C785" s="51" t="n"/>
      <c r="D785" s="51" t="n"/>
      <c r="E785" s="52" t="n"/>
    </row>
    <row r="786" ht="14.25" customHeight="1" s="96">
      <c r="A786" s="51" t="n"/>
      <c r="B786" s="51" t="n"/>
      <c r="C786" s="51" t="n"/>
      <c r="D786" s="51" t="n"/>
      <c r="E786" s="52" t="n"/>
    </row>
    <row r="787" ht="14.25" customHeight="1" s="96">
      <c r="A787" s="51" t="n"/>
      <c r="B787" s="51" t="n"/>
      <c r="C787" s="51" t="n"/>
      <c r="D787" s="51" t="n"/>
      <c r="E787" s="52" t="n"/>
    </row>
    <row r="788" ht="14.25" customHeight="1" s="96">
      <c r="A788" s="51" t="n"/>
      <c r="B788" s="51" t="n"/>
      <c r="C788" s="51" t="n"/>
      <c r="D788" s="51" t="n"/>
      <c r="E788" s="52" t="n"/>
    </row>
    <row r="789" ht="14.25" customHeight="1" s="96">
      <c r="A789" s="51" t="n"/>
      <c r="B789" s="51" t="n"/>
      <c r="C789" s="51" t="n"/>
      <c r="D789" s="51" t="n"/>
      <c r="E789" s="52" t="n"/>
    </row>
    <row r="790" ht="14.25" customHeight="1" s="96">
      <c r="A790" s="51" t="n"/>
      <c r="B790" s="51" t="n"/>
      <c r="C790" s="51" t="n"/>
      <c r="D790" s="51" t="n"/>
      <c r="E790" s="52" t="n"/>
    </row>
    <row r="791" ht="14.25" customHeight="1" s="96">
      <c r="A791" s="51" t="n"/>
      <c r="B791" s="51" t="n"/>
      <c r="C791" s="51" t="n"/>
      <c r="D791" s="51" t="n"/>
      <c r="E791" s="52" t="n"/>
    </row>
    <row r="792" ht="14.25" customHeight="1" s="96">
      <c r="A792" s="51" t="n"/>
      <c r="B792" s="51" t="n"/>
      <c r="C792" s="51" t="n"/>
      <c r="D792" s="51" t="n"/>
      <c r="E792" s="52" t="n"/>
    </row>
    <row r="793" ht="14.25" customHeight="1" s="96">
      <c r="A793" s="51" t="n"/>
      <c r="B793" s="51" t="n"/>
      <c r="C793" s="51" t="n"/>
      <c r="D793" s="51" t="n"/>
      <c r="E793" s="52" t="n"/>
    </row>
    <row r="794" ht="14.25" customHeight="1" s="96">
      <c r="A794" s="51" t="n"/>
      <c r="B794" s="51" t="n"/>
      <c r="C794" s="51" t="n"/>
      <c r="D794" s="51" t="n"/>
      <c r="E794" s="52" t="n"/>
    </row>
    <row r="795" ht="14.25" customHeight="1" s="96">
      <c r="A795" s="51" t="n"/>
      <c r="B795" s="51" t="n"/>
      <c r="C795" s="51" t="n"/>
      <c r="D795" s="51" t="n"/>
      <c r="E795" s="52" t="n"/>
    </row>
    <row r="796" ht="14.25" customHeight="1" s="96">
      <c r="A796" s="51" t="n"/>
      <c r="B796" s="51" t="n"/>
      <c r="C796" s="51" t="n"/>
      <c r="D796" s="51" t="n"/>
      <c r="E796" s="52" t="n"/>
    </row>
    <row r="797" ht="14.25" customHeight="1" s="96">
      <c r="A797" s="51" t="n"/>
      <c r="B797" s="51" t="n"/>
      <c r="C797" s="51" t="n"/>
      <c r="D797" s="51" t="n"/>
      <c r="E797" s="52" t="n"/>
    </row>
    <row r="798" ht="14.25" customHeight="1" s="96">
      <c r="A798" s="51" t="n"/>
      <c r="B798" s="51" t="n"/>
      <c r="C798" s="51" t="n"/>
      <c r="D798" s="51" t="n"/>
      <c r="E798" s="52" t="n"/>
    </row>
    <row r="799" ht="14.25" customHeight="1" s="96">
      <c r="A799" s="51" t="n"/>
      <c r="B799" s="51" t="n"/>
      <c r="C799" s="51" t="n"/>
      <c r="D799" s="51" t="n"/>
      <c r="E799" s="52" t="n"/>
    </row>
    <row r="800" ht="14.25" customHeight="1" s="96">
      <c r="A800" s="51" t="n"/>
      <c r="B800" s="51" t="n"/>
      <c r="C800" s="51" t="n"/>
      <c r="D800" s="51" t="n"/>
      <c r="E800" s="52" t="n"/>
    </row>
    <row r="801" ht="14.25" customHeight="1" s="96">
      <c r="A801" s="51" t="n"/>
      <c r="B801" s="51" t="n"/>
      <c r="C801" s="51" t="n"/>
      <c r="D801" s="51" t="n"/>
      <c r="E801" s="52" t="n"/>
    </row>
    <row r="802" ht="14.25" customHeight="1" s="96">
      <c r="A802" s="51" t="n"/>
      <c r="B802" s="51" t="n"/>
      <c r="C802" s="51" t="n"/>
      <c r="D802" s="51" t="n"/>
      <c r="E802" s="52" t="n"/>
    </row>
    <row r="803" ht="14.25" customHeight="1" s="96">
      <c r="A803" s="51" t="n"/>
      <c r="B803" s="51" t="n"/>
      <c r="C803" s="51" t="n"/>
      <c r="D803" s="51" t="n"/>
      <c r="E803" s="52" t="n"/>
    </row>
    <row r="804" ht="14.25" customHeight="1" s="96">
      <c r="A804" s="51" t="n"/>
      <c r="B804" s="51" t="n"/>
      <c r="C804" s="51" t="n"/>
      <c r="D804" s="51" t="n"/>
      <c r="E804" s="52" t="n"/>
    </row>
    <row r="805" ht="14.25" customHeight="1" s="96">
      <c r="A805" s="51" t="n"/>
      <c r="B805" s="51" t="n"/>
      <c r="C805" s="51" t="n"/>
      <c r="D805" s="51" t="n"/>
      <c r="E805" s="52" t="n"/>
    </row>
    <row r="806" ht="14.25" customHeight="1" s="96">
      <c r="A806" s="51" t="n"/>
      <c r="B806" s="51" t="n"/>
      <c r="C806" s="51" t="n"/>
      <c r="D806" s="51" t="n"/>
      <c r="E806" s="52" t="n"/>
    </row>
    <row r="807" ht="14.25" customHeight="1" s="96">
      <c r="A807" s="51" t="n"/>
      <c r="B807" s="51" t="n"/>
      <c r="C807" s="51" t="n"/>
      <c r="D807" s="51" t="n"/>
      <c r="E807" s="52" t="n"/>
    </row>
    <row r="808" ht="14.25" customHeight="1" s="96">
      <c r="A808" s="51" t="n"/>
      <c r="B808" s="51" t="n"/>
      <c r="C808" s="51" t="n"/>
      <c r="D808" s="51" t="n"/>
      <c r="E808" s="52" t="n"/>
    </row>
    <row r="809" ht="14.25" customHeight="1" s="96">
      <c r="A809" s="51" t="n"/>
      <c r="B809" s="51" t="n"/>
      <c r="C809" s="51" t="n"/>
      <c r="D809" s="51" t="n"/>
      <c r="E809" s="52" t="n"/>
    </row>
    <row r="810" ht="14.25" customHeight="1" s="96">
      <c r="A810" s="51" t="n"/>
      <c r="B810" s="51" t="n"/>
      <c r="C810" s="51" t="n"/>
      <c r="D810" s="51" t="n"/>
      <c r="E810" s="52" t="n"/>
    </row>
    <row r="811" ht="14.25" customHeight="1" s="96">
      <c r="A811" s="51" t="n"/>
      <c r="B811" s="51" t="n"/>
      <c r="C811" s="51" t="n"/>
      <c r="D811" s="51" t="n"/>
      <c r="E811" s="52" t="n"/>
    </row>
    <row r="812" ht="14.25" customHeight="1" s="96">
      <c r="A812" s="51" t="n"/>
      <c r="B812" s="51" t="n"/>
      <c r="C812" s="51" t="n"/>
      <c r="D812" s="51" t="n"/>
      <c r="E812" s="52" t="n"/>
    </row>
    <row r="813" ht="14.25" customHeight="1" s="96">
      <c r="A813" s="51" t="n"/>
      <c r="B813" s="51" t="n"/>
      <c r="C813" s="51" t="n"/>
      <c r="D813" s="51" t="n"/>
      <c r="E813" s="52" t="n"/>
    </row>
    <row r="814" ht="14.25" customHeight="1" s="96">
      <c r="A814" s="51" t="n"/>
      <c r="B814" s="51" t="n"/>
      <c r="C814" s="51" t="n"/>
      <c r="D814" s="51" t="n"/>
      <c r="E814" s="52" t="n"/>
    </row>
    <row r="815" ht="14.25" customHeight="1" s="96">
      <c r="A815" s="51" t="n"/>
      <c r="B815" s="51" t="n"/>
      <c r="C815" s="51" t="n"/>
      <c r="D815" s="51" t="n"/>
      <c r="E815" s="52" t="n"/>
    </row>
    <row r="816" ht="14.25" customHeight="1" s="96">
      <c r="A816" s="51" t="n"/>
      <c r="B816" s="51" t="n"/>
      <c r="C816" s="51" t="n"/>
      <c r="D816" s="51" t="n"/>
      <c r="E816" s="52" t="n"/>
    </row>
    <row r="817" ht="14.25" customHeight="1" s="96">
      <c r="A817" s="51" t="n"/>
      <c r="B817" s="51" t="n"/>
      <c r="C817" s="51" t="n"/>
      <c r="D817" s="51" t="n"/>
      <c r="E817" s="52" t="n"/>
    </row>
    <row r="818" ht="14.25" customHeight="1" s="96">
      <c r="A818" s="51" t="n"/>
      <c r="B818" s="51" t="n"/>
      <c r="C818" s="51" t="n"/>
      <c r="D818" s="51" t="n"/>
      <c r="E818" s="52" t="n"/>
    </row>
    <row r="819" ht="14.25" customHeight="1" s="96">
      <c r="A819" s="51" t="n"/>
      <c r="B819" s="51" t="n"/>
      <c r="C819" s="51" t="n"/>
      <c r="D819" s="51" t="n"/>
      <c r="E819" s="52" t="n"/>
    </row>
    <row r="820" ht="14.25" customHeight="1" s="96">
      <c r="A820" s="51" t="n"/>
      <c r="B820" s="51" t="n"/>
      <c r="C820" s="51" t="n"/>
      <c r="D820" s="51" t="n"/>
      <c r="E820" s="52" t="n"/>
    </row>
    <row r="821" ht="14.25" customHeight="1" s="96">
      <c r="A821" s="51" t="n"/>
      <c r="B821" s="51" t="n"/>
      <c r="C821" s="51" t="n"/>
      <c r="D821" s="51" t="n"/>
      <c r="E821" s="52" t="n"/>
    </row>
    <row r="822" ht="14.25" customHeight="1" s="96">
      <c r="A822" s="51" t="n"/>
      <c r="B822" s="51" t="n"/>
      <c r="C822" s="51" t="n"/>
      <c r="D822" s="51" t="n"/>
      <c r="E822" s="52" t="n"/>
    </row>
    <row r="823" ht="14.25" customHeight="1" s="96">
      <c r="A823" s="51" t="n"/>
      <c r="B823" s="51" t="n"/>
      <c r="C823" s="51" t="n"/>
      <c r="D823" s="51" t="n"/>
      <c r="E823" s="52" t="n"/>
    </row>
    <row r="824" ht="14.25" customHeight="1" s="96">
      <c r="A824" s="51" t="n"/>
      <c r="B824" s="51" t="n"/>
      <c r="C824" s="51" t="n"/>
      <c r="D824" s="51" t="n"/>
      <c r="E824" s="52" t="n"/>
    </row>
    <row r="825" ht="14.25" customHeight="1" s="96">
      <c r="A825" s="51" t="n"/>
      <c r="B825" s="51" t="n"/>
      <c r="C825" s="51" t="n"/>
      <c r="D825" s="51" t="n"/>
      <c r="E825" s="52" t="n"/>
    </row>
    <row r="826" ht="14.25" customHeight="1" s="96">
      <c r="A826" s="51" t="n"/>
      <c r="B826" s="51" t="n"/>
      <c r="C826" s="51" t="n"/>
      <c r="D826" s="51" t="n"/>
      <c r="E826" s="52" t="n"/>
    </row>
    <row r="827" ht="14.25" customHeight="1" s="96">
      <c r="A827" s="51" t="n"/>
      <c r="B827" s="51" t="n"/>
      <c r="C827" s="51" t="n"/>
      <c r="D827" s="51" t="n"/>
      <c r="E827" s="52" t="n"/>
    </row>
    <row r="828" ht="14.25" customHeight="1" s="96">
      <c r="A828" s="51" t="n"/>
      <c r="B828" s="51" t="n"/>
      <c r="C828" s="51" t="n"/>
      <c r="D828" s="51" t="n"/>
      <c r="E828" s="52" t="n"/>
    </row>
    <row r="829" ht="14.25" customHeight="1" s="96">
      <c r="A829" s="51" t="n"/>
      <c r="B829" s="51" t="n"/>
      <c r="C829" s="51" t="n"/>
      <c r="D829" s="51" t="n"/>
      <c r="E829" s="52" t="n"/>
    </row>
    <row r="830" ht="14.25" customHeight="1" s="96">
      <c r="A830" s="51" t="n"/>
      <c r="B830" s="51" t="n"/>
      <c r="C830" s="51" t="n"/>
      <c r="D830" s="51" t="n"/>
      <c r="E830" s="52" t="n"/>
    </row>
    <row r="831" ht="14.25" customHeight="1" s="96">
      <c r="A831" s="51" t="n"/>
      <c r="B831" s="51" t="n"/>
      <c r="C831" s="51" t="n"/>
      <c r="D831" s="51" t="n"/>
      <c r="E831" s="52" t="n"/>
    </row>
    <row r="832" ht="14.25" customHeight="1" s="96">
      <c r="A832" s="51" t="n"/>
      <c r="B832" s="51" t="n"/>
      <c r="C832" s="51" t="n"/>
      <c r="D832" s="51" t="n"/>
      <c r="E832" s="52" t="n"/>
    </row>
    <row r="833" ht="14.25" customHeight="1" s="96">
      <c r="A833" s="51" t="n"/>
      <c r="B833" s="51" t="n"/>
      <c r="C833" s="51" t="n"/>
      <c r="D833" s="51" t="n"/>
      <c r="E833" s="52" t="n"/>
    </row>
    <row r="834" ht="14.25" customHeight="1" s="96">
      <c r="A834" s="51" t="n"/>
      <c r="B834" s="51" t="n"/>
      <c r="C834" s="51" t="n"/>
      <c r="D834" s="51" t="n"/>
      <c r="E834" s="52" t="n"/>
    </row>
    <row r="835" ht="14.25" customHeight="1" s="96">
      <c r="A835" s="51" t="n"/>
      <c r="B835" s="51" t="n"/>
      <c r="C835" s="51" t="n"/>
      <c r="D835" s="51" t="n"/>
      <c r="E835" s="52" t="n"/>
    </row>
    <row r="836" ht="14.25" customHeight="1" s="96">
      <c r="A836" s="51" t="n"/>
      <c r="B836" s="51" t="n"/>
      <c r="C836" s="51" t="n"/>
      <c r="D836" s="51" t="n"/>
      <c r="E836" s="52" t="n"/>
    </row>
    <row r="837" ht="14.25" customHeight="1" s="96">
      <c r="A837" s="51" t="n"/>
      <c r="B837" s="51" t="n"/>
      <c r="C837" s="51" t="n"/>
      <c r="D837" s="51" t="n"/>
      <c r="E837" s="52" t="n"/>
    </row>
    <row r="838" ht="14.25" customHeight="1" s="96">
      <c r="A838" s="51" t="n"/>
      <c r="B838" s="51" t="n"/>
      <c r="C838" s="51" t="n"/>
      <c r="D838" s="51" t="n"/>
      <c r="E838" s="52" t="n"/>
    </row>
    <row r="839" ht="14.25" customHeight="1" s="96">
      <c r="A839" s="51" t="n"/>
      <c r="B839" s="51" t="n"/>
      <c r="C839" s="51" t="n"/>
      <c r="D839" s="51" t="n"/>
      <c r="E839" s="52" t="n"/>
    </row>
    <row r="840" ht="14.25" customHeight="1" s="96">
      <c r="A840" s="51" t="n"/>
      <c r="B840" s="51" t="n"/>
      <c r="C840" s="51" t="n"/>
      <c r="D840" s="51" t="n"/>
      <c r="E840" s="52" t="n"/>
    </row>
    <row r="841" ht="14.25" customHeight="1" s="96">
      <c r="A841" s="51" t="n"/>
      <c r="B841" s="51" t="n"/>
      <c r="C841" s="51" t="n"/>
      <c r="D841" s="51" t="n"/>
      <c r="E841" s="52" t="n"/>
    </row>
    <row r="842" ht="14.25" customHeight="1" s="96">
      <c r="A842" s="51" t="n"/>
      <c r="B842" s="51" t="n"/>
      <c r="C842" s="51" t="n"/>
      <c r="D842" s="51" t="n"/>
      <c r="E842" s="52" t="n"/>
    </row>
    <row r="843" ht="14.25" customHeight="1" s="96">
      <c r="A843" s="51" t="n"/>
      <c r="B843" s="51" t="n"/>
      <c r="C843" s="51" t="n"/>
      <c r="D843" s="51" t="n"/>
      <c r="E843" s="52" t="n"/>
    </row>
    <row r="844" ht="14.25" customHeight="1" s="96">
      <c r="A844" s="51" t="n"/>
      <c r="B844" s="51" t="n"/>
      <c r="C844" s="51" t="n"/>
      <c r="D844" s="51" t="n"/>
      <c r="E844" s="52" t="n"/>
    </row>
    <row r="845" ht="14.25" customHeight="1" s="96">
      <c r="A845" s="51" t="n"/>
      <c r="B845" s="51" t="n"/>
      <c r="C845" s="51" t="n"/>
      <c r="D845" s="51" t="n"/>
      <c r="E845" s="52" t="n"/>
    </row>
    <row r="846" ht="14.25" customHeight="1" s="96">
      <c r="A846" s="51" t="n"/>
      <c r="B846" s="51" t="n"/>
      <c r="C846" s="51" t="n"/>
      <c r="D846" s="51" t="n"/>
      <c r="E846" s="52" t="n"/>
    </row>
    <row r="847" ht="14.25" customHeight="1" s="96">
      <c r="A847" s="51" t="n"/>
      <c r="B847" s="51" t="n"/>
      <c r="C847" s="51" t="n"/>
      <c r="D847" s="51" t="n"/>
      <c r="E847" s="52" t="n"/>
    </row>
    <row r="848" ht="14.25" customHeight="1" s="96">
      <c r="A848" s="51" t="n"/>
      <c r="B848" s="51" t="n"/>
      <c r="C848" s="51" t="n"/>
      <c r="D848" s="51" t="n"/>
      <c r="E848" s="52" t="n"/>
    </row>
    <row r="849" ht="14.25" customHeight="1" s="96">
      <c r="A849" s="51" t="n"/>
      <c r="B849" s="51" t="n"/>
      <c r="C849" s="51" t="n"/>
      <c r="D849" s="51" t="n"/>
      <c r="E849" s="52" t="n"/>
    </row>
    <row r="850" ht="14.25" customHeight="1" s="96">
      <c r="A850" s="51" t="n"/>
      <c r="B850" s="51" t="n"/>
      <c r="C850" s="51" t="n"/>
      <c r="D850" s="51" t="n"/>
      <c r="E850" s="52" t="n"/>
    </row>
    <row r="851" ht="14.25" customHeight="1" s="96">
      <c r="A851" s="51" t="n"/>
      <c r="B851" s="51" t="n"/>
      <c r="C851" s="51" t="n"/>
      <c r="D851" s="51" t="n"/>
      <c r="E851" s="52" t="n"/>
    </row>
    <row r="852" ht="14.25" customHeight="1" s="96">
      <c r="A852" s="51" t="n"/>
      <c r="B852" s="51" t="n"/>
      <c r="C852" s="51" t="n"/>
      <c r="D852" s="51" t="n"/>
      <c r="E852" s="52" t="n"/>
    </row>
    <row r="853" ht="14.25" customHeight="1" s="96">
      <c r="A853" s="51" t="n"/>
      <c r="B853" s="51" t="n"/>
      <c r="C853" s="51" t="n"/>
      <c r="D853" s="51" t="n"/>
      <c r="E853" s="52" t="n"/>
    </row>
    <row r="854" ht="14.25" customHeight="1" s="96">
      <c r="A854" s="51" t="n"/>
      <c r="B854" s="51" t="n"/>
      <c r="C854" s="51" t="n"/>
      <c r="D854" s="51" t="n"/>
      <c r="E854" s="52" t="n"/>
    </row>
    <row r="855" ht="14.25" customHeight="1" s="96">
      <c r="A855" s="51" t="n"/>
      <c r="B855" s="51" t="n"/>
      <c r="C855" s="51" t="n"/>
      <c r="D855" s="51" t="n"/>
      <c r="E855" s="52" t="n"/>
    </row>
    <row r="856" ht="14.25" customHeight="1" s="96">
      <c r="A856" s="51" t="n"/>
      <c r="B856" s="51" t="n"/>
      <c r="C856" s="51" t="n"/>
      <c r="D856" s="51" t="n"/>
      <c r="E856" s="52" t="n"/>
    </row>
    <row r="857" ht="14.25" customHeight="1" s="96">
      <c r="A857" s="51" t="n"/>
      <c r="B857" s="51" t="n"/>
      <c r="C857" s="51" t="n"/>
      <c r="D857" s="51" t="n"/>
      <c r="E857" s="52" t="n"/>
    </row>
    <row r="858" ht="14.25" customHeight="1" s="96">
      <c r="A858" s="51" t="n"/>
      <c r="B858" s="51" t="n"/>
      <c r="C858" s="51" t="n"/>
      <c r="D858" s="51" t="n"/>
      <c r="E858" s="52" t="n"/>
    </row>
    <row r="859" ht="14.25" customHeight="1" s="96">
      <c r="A859" s="51" t="n"/>
      <c r="B859" s="51" t="n"/>
      <c r="C859" s="51" t="n"/>
      <c r="D859" s="51" t="n"/>
      <c r="E859" s="52" t="n"/>
    </row>
    <row r="860" ht="14.25" customHeight="1" s="96">
      <c r="A860" s="51" t="n"/>
      <c r="B860" s="51" t="n"/>
      <c r="C860" s="51" t="n"/>
      <c r="D860" s="51" t="n"/>
      <c r="E860" s="52" t="n"/>
    </row>
    <row r="861" ht="14.25" customHeight="1" s="96">
      <c r="A861" s="51" t="n"/>
      <c r="B861" s="51" t="n"/>
      <c r="C861" s="51" t="n"/>
      <c r="D861" s="51" t="n"/>
      <c r="E861" s="52" t="n"/>
    </row>
    <row r="862" ht="14.25" customHeight="1" s="96">
      <c r="A862" s="51" t="n"/>
      <c r="B862" s="51" t="n"/>
      <c r="C862" s="51" t="n"/>
      <c r="D862" s="51" t="n"/>
      <c r="E862" s="52" t="n"/>
    </row>
    <row r="863" ht="14.25" customHeight="1" s="96">
      <c r="A863" s="51" t="n"/>
      <c r="B863" s="51" t="n"/>
      <c r="C863" s="51" t="n"/>
      <c r="D863" s="51" t="n"/>
      <c r="E863" s="52" t="n"/>
    </row>
    <row r="864" ht="14.25" customHeight="1" s="96">
      <c r="A864" s="51" t="n"/>
      <c r="B864" s="51" t="n"/>
      <c r="C864" s="51" t="n"/>
      <c r="D864" s="51" t="n"/>
      <c r="E864" s="52" t="n"/>
    </row>
    <row r="865" ht="14.25" customHeight="1" s="96">
      <c r="A865" s="51" t="n"/>
      <c r="B865" s="51" t="n"/>
      <c r="C865" s="51" t="n"/>
      <c r="D865" s="51" t="n"/>
      <c r="E865" s="52" t="n"/>
    </row>
    <row r="866" ht="14.25" customHeight="1" s="96">
      <c r="A866" s="51" t="n"/>
      <c r="B866" s="51" t="n"/>
      <c r="C866" s="51" t="n"/>
      <c r="D866" s="51" t="n"/>
      <c r="E866" s="52" t="n"/>
    </row>
    <row r="867" ht="14.25" customHeight="1" s="96">
      <c r="A867" s="51" t="n"/>
      <c r="B867" s="51" t="n"/>
      <c r="C867" s="51" t="n"/>
      <c r="D867" s="51" t="n"/>
      <c r="E867" s="52" t="n"/>
    </row>
    <row r="868" ht="14.25" customHeight="1" s="96">
      <c r="A868" s="51" t="n"/>
      <c r="B868" s="51" t="n"/>
      <c r="C868" s="51" t="n"/>
      <c r="D868" s="51" t="n"/>
      <c r="E868" s="52" t="n"/>
    </row>
    <row r="869" ht="14.25" customHeight="1" s="96">
      <c r="A869" s="51" t="n"/>
      <c r="B869" s="51" t="n"/>
      <c r="C869" s="51" t="n"/>
      <c r="D869" s="51" t="n"/>
      <c r="E869" s="52" t="n"/>
    </row>
    <row r="870" ht="14.25" customHeight="1" s="96">
      <c r="A870" s="51" t="n"/>
      <c r="B870" s="51" t="n"/>
      <c r="C870" s="51" t="n"/>
      <c r="D870" s="51" t="n"/>
      <c r="E870" s="52" t="n"/>
    </row>
    <row r="871" ht="14.25" customHeight="1" s="96">
      <c r="A871" s="51" t="n"/>
      <c r="B871" s="51" t="n"/>
      <c r="C871" s="51" t="n"/>
      <c r="D871" s="51" t="n"/>
      <c r="E871" s="52" t="n"/>
    </row>
    <row r="872" ht="14.25" customHeight="1" s="96">
      <c r="A872" s="51" t="n"/>
      <c r="B872" s="51" t="n"/>
      <c r="C872" s="51" t="n"/>
      <c r="D872" s="51" t="n"/>
      <c r="E872" s="52" t="n"/>
    </row>
    <row r="873" ht="14.25" customHeight="1" s="96">
      <c r="A873" s="51" t="n"/>
      <c r="B873" s="51" t="n"/>
      <c r="C873" s="51" t="n"/>
      <c r="D873" s="51" t="n"/>
      <c r="E873" s="52" t="n"/>
    </row>
    <row r="874" ht="14.25" customHeight="1" s="96">
      <c r="A874" s="51" t="n"/>
      <c r="B874" s="51" t="n"/>
      <c r="C874" s="51" t="n"/>
      <c r="D874" s="51" t="n"/>
      <c r="E874" s="52" t="n"/>
    </row>
    <row r="875" ht="14.25" customHeight="1" s="96">
      <c r="A875" s="51" t="n"/>
      <c r="B875" s="51" t="n"/>
      <c r="C875" s="51" t="n"/>
      <c r="D875" s="51" t="n"/>
      <c r="E875" s="52" t="n"/>
    </row>
    <row r="876" ht="14.25" customHeight="1" s="96">
      <c r="A876" s="51" t="n"/>
      <c r="B876" s="51" t="n"/>
      <c r="C876" s="51" t="n"/>
      <c r="D876" s="51" t="n"/>
      <c r="E876" s="52" t="n"/>
    </row>
    <row r="877" ht="14.25" customHeight="1" s="96">
      <c r="A877" s="51" t="n"/>
      <c r="B877" s="51" t="n"/>
      <c r="C877" s="51" t="n"/>
      <c r="D877" s="51" t="n"/>
      <c r="E877" s="52" t="n"/>
    </row>
    <row r="878" ht="14.25" customHeight="1" s="96">
      <c r="A878" s="51" t="n"/>
      <c r="B878" s="51" t="n"/>
      <c r="C878" s="51" t="n"/>
      <c r="D878" s="51" t="n"/>
      <c r="E878" s="52" t="n"/>
    </row>
    <row r="879" ht="14.25" customHeight="1" s="96">
      <c r="A879" s="51" t="n"/>
      <c r="B879" s="51" t="n"/>
      <c r="C879" s="51" t="n"/>
      <c r="D879" s="51" t="n"/>
      <c r="E879" s="52" t="n"/>
    </row>
    <row r="880" ht="14.25" customHeight="1" s="96">
      <c r="A880" s="51" t="n"/>
      <c r="B880" s="51" t="n"/>
      <c r="C880" s="51" t="n"/>
      <c r="D880" s="51" t="n"/>
      <c r="E880" s="52" t="n"/>
    </row>
    <row r="881" ht="14.25" customHeight="1" s="96">
      <c r="A881" s="51" t="n"/>
      <c r="B881" s="51" t="n"/>
      <c r="C881" s="51" t="n"/>
      <c r="D881" s="51" t="n"/>
      <c r="E881" s="52" t="n"/>
    </row>
    <row r="882" ht="14.25" customHeight="1" s="96">
      <c r="A882" s="51" t="n"/>
      <c r="B882" s="51" t="n"/>
      <c r="C882" s="51" t="n"/>
      <c r="D882" s="51" t="n"/>
      <c r="E882" s="52" t="n"/>
    </row>
    <row r="883" ht="14.25" customHeight="1" s="96">
      <c r="A883" s="51" t="n"/>
      <c r="B883" s="51" t="n"/>
      <c r="C883" s="51" t="n"/>
      <c r="D883" s="51" t="n"/>
      <c r="E883" s="52" t="n"/>
    </row>
    <row r="884" ht="14.25" customHeight="1" s="96">
      <c r="A884" s="51" t="n"/>
      <c r="B884" s="51" t="n"/>
      <c r="C884" s="51" t="n"/>
      <c r="D884" s="51" t="n"/>
      <c r="E884" s="52" t="n"/>
    </row>
    <row r="885" ht="14.25" customHeight="1" s="96">
      <c r="A885" s="51" t="n"/>
      <c r="B885" s="51" t="n"/>
      <c r="C885" s="51" t="n"/>
      <c r="D885" s="51" t="n"/>
      <c r="E885" s="52" t="n"/>
    </row>
    <row r="886" ht="14.25" customHeight="1" s="96">
      <c r="A886" s="51" t="n"/>
      <c r="B886" s="51" t="n"/>
      <c r="C886" s="51" t="n"/>
      <c r="D886" s="51" t="n"/>
      <c r="E886" s="52" t="n"/>
    </row>
    <row r="887" ht="14.25" customHeight="1" s="96">
      <c r="A887" s="51" t="n"/>
      <c r="B887" s="51" t="n"/>
      <c r="C887" s="51" t="n"/>
      <c r="D887" s="51" t="n"/>
      <c r="E887" s="52" t="n"/>
    </row>
    <row r="888" ht="14.25" customHeight="1" s="96">
      <c r="A888" s="51" t="n"/>
      <c r="B888" s="51" t="n"/>
      <c r="C888" s="51" t="n"/>
      <c r="D888" s="51" t="n"/>
      <c r="E888" s="52" t="n"/>
    </row>
    <row r="889" ht="14.25" customHeight="1" s="96">
      <c r="A889" s="51" t="n"/>
      <c r="B889" s="51" t="n"/>
      <c r="C889" s="51" t="n"/>
      <c r="D889" s="51" t="n"/>
      <c r="E889" s="52" t="n"/>
    </row>
    <row r="890" ht="14.25" customHeight="1" s="96">
      <c r="A890" s="51" t="n"/>
      <c r="B890" s="51" t="n"/>
      <c r="C890" s="51" t="n"/>
      <c r="D890" s="51" t="n"/>
      <c r="E890" s="52" t="n"/>
    </row>
    <row r="891" ht="14.25" customHeight="1" s="96">
      <c r="A891" s="51" t="n"/>
      <c r="B891" s="51" t="n"/>
      <c r="C891" s="51" t="n"/>
      <c r="D891" s="51" t="n"/>
      <c r="E891" s="52" t="n"/>
    </row>
    <row r="892" ht="14.25" customHeight="1" s="96">
      <c r="A892" s="51" t="n"/>
      <c r="B892" s="51" t="n"/>
      <c r="C892" s="51" t="n"/>
      <c r="D892" s="51" t="n"/>
      <c r="E892" s="52" t="n"/>
    </row>
    <row r="893" ht="14.25" customHeight="1" s="96">
      <c r="A893" s="51" t="n"/>
      <c r="B893" s="51" t="n"/>
      <c r="C893" s="51" t="n"/>
      <c r="D893" s="51" t="n"/>
      <c r="E893" s="52" t="n"/>
    </row>
    <row r="894" ht="14.25" customHeight="1" s="96">
      <c r="A894" s="51" t="n"/>
      <c r="B894" s="51" t="n"/>
      <c r="C894" s="51" t="n"/>
      <c r="D894" s="51" t="n"/>
      <c r="E894" s="52" t="n"/>
    </row>
    <row r="895" ht="14.25" customHeight="1" s="96">
      <c r="A895" s="51" t="n"/>
      <c r="B895" s="51" t="n"/>
      <c r="C895" s="51" t="n"/>
      <c r="D895" s="51" t="n"/>
      <c r="E895" s="52" t="n"/>
    </row>
    <row r="896" ht="14.25" customHeight="1" s="96">
      <c r="A896" s="51" t="n"/>
      <c r="B896" s="51" t="n"/>
      <c r="C896" s="51" t="n"/>
      <c r="D896" s="51" t="n"/>
      <c r="E896" s="52" t="n"/>
    </row>
    <row r="897" ht="14.25" customHeight="1" s="96">
      <c r="A897" s="51" t="n"/>
      <c r="B897" s="51" t="n"/>
      <c r="C897" s="51" t="n"/>
      <c r="D897" s="51" t="n"/>
      <c r="E897" s="52" t="n"/>
    </row>
    <row r="898" ht="14.25" customHeight="1" s="96">
      <c r="A898" s="51" t="n"/>
      <c r="B898" s="51" t="n"/>
      <c r="C898" s="51" t="n"/>
      <c r="D898" s="51" t="n"/>
      <c r="E898" s="52" t="n"/>
    </row>
    <row r="899" ht="14.25" customHeight="1" s="96">
      <c r="A899" s="51" t="n"/>
      <c r="B899" s="51" t="n"/>
      <c r="C899" s="51" t="n"/>
      <c r="D899" s="51" t="n"/>
      <c r="E899" s="52" t="n"/>
    </row>
    <row r="900" ht="14.25" customHeight="1" s="96">
      <c r="A900" s="51" t="n"/>
      <c r="B900" s="51" t="n"/>
      <c r="C900" s="51" t="n"/>
      <c r="D900" s="51" t="n"/>
      <c r="E900" s="52" t="n"/>
    </row>
    <row r="901" ht="14.25" customHeight="1" s="96">
      <c r="A901" s="51" t="n"/>
      <c r="B901" s="51" t="n"/>
      <c r="C901" s="51" t="n"/>
      <c r="D901" s="51" t="n"/>
      <c r="E901" s="52" t="n"/>
    </row>
    <row r="902" ht="14.25" customHeight="1" s="96">
      <c r="A902" s="51" t="n"/>
      <c r="B902" s="51" t="n"/>
      <c r="C902" s="51" t="n"/>
      <c r="D902" s="51" t="n"/>
      <c r="E902" s="52" t="n"/>
    </row>
    <row r="903" ht="14.25" customHeight="1" s="96">
      <c r="A903" s="51" t="n"/>
      <c r="B903" s="51" t="n"/>
      <c r="C903" s="51" t="n"/>
      <c r="D903" s="51" t="n"/>
      <c r="E903" s="52" t="n"/>
    </row>
    <row r="904" ht="14.25" customHeight="1" s="96">
      <c r="A904" s="51" t="n"/>
      <c r="B904" s="51" t="n"/>
      <c r="C904" s="51" t="n"/>
      <c r="D904" s="51" t="n"/>
      <c r="E904" s="52" t="n"/>
    </row>
    <row r="905" ht="14.25" customHeight="1" s="96">
      <c r="A905" s="51" t="n"/>
      <c r="B905" s="51" t="n"/>
      <c r="C905" s="51" t="n"/>
      <c r="D905" s="51" t="n"/>
      <c r="E905" s="52" t="n"/>
    </row>
    <row r="906" ht="14.25" customHeight="1" s="96">
      <c r="A906" s="51" t="n"/>
      <c r="B906" s="51" t="n"/>
      <c r="C906" s="51" t="n"/>
      <c r="D906" s="51" t="n"/>
      <c r="E906" s="52" t="n"/>
    </row>
    <row r="907" ht="14.25" customHeight="1" s="96">
      <c r="A907" s="51" t="n"/>
      <c r="B907" s="51" t="n"/>
      <c r="C907" s="51" t="n"/>
      <c r="D907" s="51" t="n"/>
      <c r="E907" s="52" t="n"/>
    </row>
    <row r="908" ht="14.25" customHeight="1" s="96">
      <c r="A908" s="51" t="n"/>
      <c r="B908" s="51" t="n"/>
      <c r="C908" s="51" t="n"/>
      <c r="D908" s="51" t="n"/>
      <c r="E908" s="52" t="n"/>
    </row>
    <row r="909" ht="14.25" customHeight="1" s="96">
      <c r="A909" s="51" t="n"/>
      <c r="B909" s="51" t="n"/>
      <c r="C909" s="51" t="n"/>
      <c r="D909" s="51" t="n"/>
      <c r="E909" s="52" t="n"/>
    </row>
    <row r="910" ht="14.25" customHeight="1" s="96">
      <c r="A910" s="51" t="n"/>
      <c r="B910" s="51" t="n"/>
      <c r="C910" s="51" t="n"/>
      <c r="D910" s="51" t="n"/>
      <c r="E910" s="52" t="n"/>
    </row>
    <row r="911" ht="14.25" customHeight="1" s="96">
      <c r="A911" s="51" t="n"/>
      <c r="B911" s="51" t="n"/>
      <c r="C911" s="51" t="n"/>
      <c r="D911" s="51" t="n"/>
      <c r="E911" s="52" t="n"/>
    </row>
    <row r="912" ht="14.25" customHeight="1" s="96">
      <c r="A912" s="51" t="n"/>
      <c r="B912" s="51" t="n"/>
      <c r="C912" s="51" t="n"/>
      <c r="D912" s="51" t="n"/>
      <c r="E912" s="52" t="n"/>
    </row>
    <row r="913" ht="14.25" customHeight="1" s="96">
      <c r="A913" s="51" t="n"/>
      <c r="B913" s="51" t="n"/>
      <c r="C913" s="51" t="n"/>
      <c r="D913" s="51" t="n"/>
      <c r="E913" s="52" t="n"/>
    </row>
    <row r="914" ht="14.25" customHeight="1" s="96">
      <c r="A914" s="51" t="n"/>
      <c r="B914" s="51" t="n"/>
      <c r="C914" s="51" t="n"/>
      <c r="D914" s="51" t="n"/>
      <c r="E914" s="52" t="n"/>
    </row>
    <row r="915" ht="14.25" customHeight="1" s="96">
      <c r="A915" s="51" t="n"/>
      <c r="B915" s="51" t="n"/>
      <c r="C915" s="51" t="n"/>
      <c r="D915" s="51" t="n"/>
      <c r="E915" s="52" t="n"/>
    </row>
    <row r="916" ht="14.25" customHeight="1" s="96">
      <c r="A916" s="51" t="n"/>
      <c r="B916" s="51" t="n"/>
      <c r="C916" s="51" t="n"/>
      <c r="D916" s="51" t="n"/>
      <c r="E916" s="52" t="n"/>
    </row>
    <row r="917" ht="14.25" customHeight="1" s="96">
      <c r="A917" s="51" t="n"/>
      <c r="B917" s="51" t="n"/>
      <c r="C917" s="51" t="n"/>
      <c r="D917" s="51" t="n"/>
      <c r="E917" s="52" t="n"/>
    </row>
    <row r="918" ht="14.25" customHeight="1" s="96">
      <c r="A918" s="51" t="n"/>
      <c r="B918" s="51" t="n"/>
      <c r="C918" s="51" t="n"/>
      <c r="D918" s="51" t="n"/>
      <c r="E918" s="52" t="n"/>
    </row>
    <row r="919" ht="14.25" customHeight="1" s="96">
      <c r="A919" s="51" t="n"/>
      <c r="B919" s="51" t="n"/>
      <c r="C919" s="51" t="n"/>
      <c r="D919" s="51" t="n"/>
      <c r="E919" s="52" t="n"/>
    </row>
    <row r="920" ht="14.25" customHeight="1" s="96">
      <c r="A920" s="51" t="n"/>
      <c r="B920" s="51" t="n"/>
      <c r="C920" s="51" t="n"/>
      <c r="D920" s="51" t="n"/>
      <c r="E920" s="52" t="n"/>
    </row>
    <row r="921" ht="14.25" customHeight="1" s="96">
      <c r="A921" s="51" t="n"/>
      <c r="B921" s="51" t="n"/>
      <c r="C921" s="51" t="n"/>
      <c r="D921" s="51" t="n"/>
      <c r="E921" s="52" t="n"/>
    </row>
    <row r="922" ht="14.25" customHeight="1" s="96">
      <c r="A922" s="51" t="n"/>
      <c r="B922" s="51" t="n"/>
      <c r="C922" s="51" t="n"/>
      <c r="D922" s="51" t="n"/>
      <c r="E922" s="52" t="n"/>
    </row>
    <row r="923" ht="14.25" customHeight="1" s="96">
      <c r="A923" s="51" t="n"/>
      <c r="B923" s="51" t="n"/>
      <c r="C923" s="51" t="n"/>
      <c r="D923" s="51" t="n"/>
      <c r="E923" s="52" t="n"/>
    </row>
    <row r="924" ht="14.25" customHeight="1" s="96">
      <c r="A924" s="51" t="n"/>
      <c r="B924" s="51" t="n"/>
      <c r="C924" s="51" t="n"/>
      <c r="D924" s="51" t="n"/>
      <c r="E924" s="52" t="n"/>
    </row>
    <row r="925" ht="14.25" customHeight="1" s="96">
      <c r="A925" s="51" t="n"/>
      <c r="B925" s="51" t="n"/>
      <c r="C925" s="51" t="n"/>
      <c r="D925" s="51" t="n"/>
      <c r="E925" s="52" t="n"/>
    </row>
    <row r="926" ht="14.25" customHeight="1" s="96">
      <c r="A926" s="51" t="n"/>
      <c r="B926" s="51" t="n"/>
      <c r="C926" s="51" t="n"/>
      <c r="D926" s="51" t="n"/>
      <c r="E926" s="52" t="n"/>
    </row>
    <row r="927" ht="14.25" customHeight="1" s="96">
      <c r="A927" s="51" t="n"/>
      <c r="B927" s="51" t="n"/>
      <c r="C927" s="51" t="n"/>
      <c r="D927" s="51" t="n"/>
      <c r="E927" s="52" t="n"/>
    </row>
    <row r="928" ht="14.25" customHeight="1" s="96">
      <c r="A928" s="51" t="n"/>
      <c r="B928" s="51" t="n"/>
      <c r="C928" s="51" t="n"/>
      <c r="D928" s="51" t="n"/>
      <c r="E928" s="52" t="n"/>
    </row>
    <row r="929" ht="14.25" customHeight="1" s="96">
      <c r="A929" s="51" t="n"/>
      <c r="B929" s="51" t="n"/>
      <c r="C929" s="51" t="n"/>
      <c r="D929" s="51" t="n"/>
      <c r="E929" s="52" t="n"/>
    </row>
    <row r="930" ht="14.25" customHeight="1" s="96">
      <c r="A930" s="51" t="n"/>
      <c r="B930" s="51" t="n"/>
      <c r="C930" s="51" t="n"/>
      <c r="D930" s="51" t="n"/>
      <c r="E930" s="52" t="n"/>
    </row>
    <row r="931" ht="14.25" customHeight="1" s="96">
      <c r="A931" s="51" t="n"/>
      <c r="B931" s="51" t="n"/>
      <c r="C931" s="51" t="n"/>
      <c r="D931" s="51" t="n"/>
      <c r="E931" s="52" t="n"/>
    </row>
    <row r="932" ht="14.25" customHeight="1" s="96">
      <c r="A932" s="51" t="n"/>
      <c r="B932" s="51" t="n"/>
      <c r="C932" s="51" t="n"/>
      <c r="D932" s="51" t="n"/>
      <c r="E932" s="52" t="n"/>
    </row>
    <row r="933" ht="14.25" customHeight="1" s="96">
      <c r="A933" s="51" t="n"/>
      <c r="B933" s="51" t="n"/>
      <c r="C933" s="51" t="n"/>
      <c r="D933" s="51" t="n"/>
      <c r="E933" s="52" t="n"/>
    </row>
    <row r="934" ht="14.25" customHeight="1" s="96">
      <c r="A934" s="51" t="n"/>
      <c r="B934" s="51" t="n"/>
      <c r="C934" s="51" t="n"/>
      <c r="D934" s="51" t="n"/>
      <c r="E934" s="52" t="n"/>
    </row>
    <row r="935" ht="14.25" customHeight="1" s="96">
      <c r="A935" s="51" t="n"/>
      <c r="B935" s="51" t="n"/>
      <c r="C935" s="51" t="n"/>
      <c r="D935" s="51" t="n"/>
      <c r="E935" s="52" t="n"/>
    </row>
    <row r="936" ht="14.25" customHeight="1" s="96">
      <c r="A936" s="51" t="n"/>
      <c r="B936" s="51" t="n"/>
      <c r="C936" s="51" t="n"/>
      <c r="D936" s="51" t="n"/>
      <c r="E936" s="52" t="n"/>
    </row>
    <row r="937" ht="14.25" customHeight="1" s="96">
      <c r="A937" s="51" t="n"/>
      <c r="B937" s="51" t="n"/>
      <c r="C937" s="51" t="n"/>
      <c r="D937" s="51" t="n"/>
      <c r="E937" s="52" t="n"/>
    </row>
    <row r="938" ht="14.25" customHeight="1" s="96">
      <c r="A938" s="51" t="n"/>
      <c r="B938" s="51" t="n"/>
      <c r="C938" s="51" t="n"/>
      <c r="D938" s="51" t="n"/>
      <c r="E938" s="52" t="n"/>
    </row>
    <row r="939" ht="14.25" customHeight="1" s="96">
      <c r="A939" s="51" t="n"/>
      <c r="B939" s="51" t="n"/>
      <c r="C939" s="51" t="n"/>
      <c r="D939" s="51" t="n"/>
      <c r="E939" s="52" t="n"/>
    </row>
    <row r="940" ht="14.25" customHeight="1" s="96">
      <c r="A940" s="51" t="n"/>
      <c r="B940" s="51" t="n"/>
      <c r="C940" s="51" t="n"/>
      <c r="D940" s="51" t="n"/>
      <c r="E940" s="52" t="n"/>
    </row>
    <row r="941" ht="14.25" customHeight="1" s="96">
      <c r="A941" s="51" t="n"/>
      <c r="B941" s="51" t="n"/>
      <c r="C941" s="51" t="n"/>
      <c r="D941" s="51" t="n"/>
      <c r="E941" s="52" t="n"/>
    </row>
    <row r="942" ht="14.25" customHeight="1" s="96">
      <c r="A942" s="51" t="n"/>
      <c r="B942" s="51" t="n"/>
      <c r="C942" s="51" t="n"/>
      <c r="D942" s="51" t="n"/>
      <c r="E942" s="52" t="n"/>
    </row>
    <row r="943" ht="14.25" customHeight="1" s="96">
      <c r="A943" s="51" t="n"/>
      <c r="B943" s="51" t="n"/>
      <c r="C943" s="51" t="n"/>
      <c r="D943" s="51" t="n"/>
      <c r="E943" s="52" t="n"/>
    </row>
    <row r="944" ht="14.25" customHeight="1" s="96">
      <c r="A944" s="51" t="n"/>
      <c r="B944" s="51" t="n"/>
      <c r="C944" s="51" t="n"/>
      <c r="D944" s="51" t="n"/>
      <c r="E944" s="52" t="n"/>
    </row>
    <row r="945" ht="14.25" customHeight="1" s="96">
      <c r="A945" s="51" t="n"/>
      <c r="B945" s="51" t="n"/>
      <c r="C945" s="51" t="n"/>
      <c r="D945" s="51" t="n"/>
      <c r="E945" s="52" t="n"/>
    </row>
    <row r="946" ht="14.25" customHeight="1" s="96">
      <c r="A946" s="51" t="n"/>
      <c r="B946" s="51" t="n"/>
      <c r="C946" s="51" t="n"/>
      <c r="D946" s="51" t="n"/>
      <c r="E946" s="52" t="n"/>
    </row>
    <row r="947" ht="14.25" customHeight="1" s="96">
      <c r="A947" s="51" t="n"/>
      <c r="B947" s="51" t="n"/>
      <c r="C947" s="51" t="n"/>
      <c r="D947" s="51" t="n"/>
      <c r="E947" s="52" t="n"/>
    </row>
    <row r="948" ht="14.25" customHeight="1" s="96">
      <c r="A948" s="51" t="n"/>
      <c r="B948" s="51" t="n"/>
      <c r="C948" s="51" t="n"/>
      <c r="D948" s="51" t="n"/>
      <c r="E948" s="52" t="n"/>
    </row>
    <row r="949" ht="14.25" customHeight="1" s="96">
      <c r="A949" s="51" t="n"/>
      <c r="B949" s="51" t="n"/>
      <c r="C949" s="51" t="n"/>
      <c r="D949" s="51" t="n"/>
      <c r="E949" s="52" t="n"/>
    </row>
    <row r="950" ht="14.25" customHeight="1" s="96">
      <c r="A950" s="51" t="n"/>
      <c r="B950" s="51" t="n"/>
      <c r="C950" s="51" t="n"/>
      <c r="D950" s="51" t="n"/>
      <c r="E950" s="52" t="n"/>
    </row>
    <row r="951" ht="14.25" customHeight="1" s="96">
      <c r="A951" s="51" t="n"/>
      <c r="B951" s="51" t="n"/>
      <c r="C951" s="51" t="n"/>
      <c r="D951" s="51" t="n"/>
      <c r="E951" s="52" t="n"/>
    </row>
    <row r="952" ht="14.25" customHeight="1" s="96">
      <c r="A952" s="51" t="n"/>
      <c r="B952" s="51" t="n"/>
      <c r="C952" s="51" t="n"/>
      <c r="D952" s="51" t="n"/>
      <c r="E952" s="52" t="n"/>
    </row>
    <row r="953" ht="14.25" customHeight="1" s="96">
      <c r="A953" s="51" t="n"/>
      <c r="B953" s="51" t="n"/>
      <c r="C953" s="51" t="n"/>
      <c r="D953" s="51" t="n"/>
      <c r="E953" s="52" t="n"/>
    </row>
    <row r="954" ht="14.25" customHeight="1" s="96">
      <c r="A954" s="51" t="n"/>
      <c r="B954" s="51" t="n"/>
      <c r="C954" s="51" t="n"/>
      <c r="D954" s="51" t="n"/>
      <c r="E954" s="52" t="n"/>
    </row>
    <row r="955" ht="14.25" customHeight="1" s="96">
      <c r="A955" s="51" t="n"/>
      <c r="B955" s="51" t="n"/>
      <c r="C955" s="51" t="n"/>
      <c r="D955" s="51" t="n"/>
      <c r="E955" s="52" t="n"/>
    </row>
    <row r="956" ht="14.25" customHeight="1" s="96">
      <c r="A956" s="51" t="n"/>
      <c r="B956" s="51" t="n"/>
      <c r="C956" s="51" t="n"/>
      <c r="D956" s="51" t="n"/>
      <c r="E956" s="52" t="n"/>
    </row>
    <row r="957" ht="14.25" customHeight="1" s="96">
      <c r="A957" s="51" t="n"/>
      <c r="B957" s="51" t="n"/>
      <c r="C957" s="51" t="n"/>
      <c r="D957" s="51" t="n"/>
      <c r="E957" s="52" t="n"/>
    </row>
    <row r="958" ht="14.25" customHeight="1" s="96">
      <c r="A958" s="51" t="n"/>
      <c r="B958" s="51" t="n"/>
      <c r="C958" s="51" t="n"/>
      <c r="D958" s="51" t="n"/>
      <c r="E958" s="52" t="n"/>
    </row>
    <row r="959" ht="14.25" customHeight="1" s="96">
      <c r="A959" s="51" t="n"/>
      <c r="B959" s="51" t="n"/>
      <c r="C959" s="51" t="n"/>
      <c r="D959" s="51" t="n"/>
      <c r="E959" s="52" t="n"/>
    </row>
    <row r="960" ht="14.25" customHeight="1" s="96">
      <c r="A960" s="51" t="n"/>
      <c r="B960" s="51" t="n"/>
      <c r="C960" s="51" t="n"/>
      <c r="D960" s="51" t="n"/>
      <c r="E960" s="52" t="n"/>
    </row>
    <row r="961" ht="14.25" customHeight="1" s="96">
      <c r="A961" s="51" t="n"/>
      <c r="B961" s="51" t="n"/>
      <c r="C961" s="51" t="n"/>
      <c r="D961" s="51" t="n"/>
      <c r="E961" s="52" t="n"/>
    </row>
    <row r="962" ht="14.25" customHeight="1" s="96">
      <c r="A962" s="51" t="n"/>
      <c r="B962" s="51" t="n"/>
      <c r="C962" s="51" t="n"/>
      <c r="D962" s="51" t="n"/>
      <c r="E962" s="52" t="n"/>
    </row>
    <row r="963" ht="14.25" customHeight="1" s="96">
      <c r="A963" s="51" t="n"/>
      <c r="B963" s="51" t="n"/>
      <c r="C963" s="51" t="n"/>
      <c r="D963" s="51" t="n"/>
      <c r="E963" s="52" t="n"/>
    </row>
    <row r="964" ht="14.25" customHeight="1" s="96">
      <c r="A964" s="51" t="n"/>
      <c r="B964" s="51" t="n"/>
      <c r="C964" s="51" t="n"/>
      <c r="D964" s="51" t="n"/>
      <c r="E964" s="52" t="n"/>
    </row>
    <row r="965" ht="14.25" customHeight="1" s="96">
      <c r="A965" s="51" t="n"/>
      <c r="B965" s="51" t="n"/>
      <c r="C965" s="51" t="n"/>
      <c r="D965" s="51" t="n"/>
      <c r="E965" s="52" t="n"/>
    </row>
    <row r="966" ht="14.25" customHeight="1" s="96">
      <c r="A966" s="51" t="n"/>
      <c r="B966" s="51" t="n"/>
      <c r="C966" s="51" t="n"/>
      <c r="D966" s="51" t="n"/>
      <c r="E966" s="52" t="n"/>
    </row>
    <row r="967" ht="14.25" customHeight="1" s="96">
      <c r="A967" s="51" t="n"/>
      <c r="B967" s="51" t="n"/>
      <c r="C967" s="51" t="n"/>
      <c r="D967" s="51" t="n"/>
      <c r="E967" s="52" t="n"/>
    </row>
    <row r="968" ht="14.25" customHeight="1" s="96">
      <c r="A968" s="51" t="n"/>
      <c r="B968" s="51" t="n"/>
      <c r="C968" s="51" t="n"/>
      <c r="D968" s="51" t="n"/>
      <c r="E968" s="52" t="n"/>
    </row>
    <row r="969" ht="14.25" customHeight="1" s="96">
      <c r="A969" s="51" t="n"/>
      <c r="B969" s="51" t="n"/>
      <c r="C969" s="51" t="n"/>
      <c r="D969" s="51" t="n"/>
      <c r="E969" s="52" t="n"/>
    </row>
    <row r="970" ht="14.25" customHeight="1" s="96">
      <c r="A970" s="51" t="n"/>
      <c r="B970" s="51" t="n"/>
      <c r="C970" s="51" t="n"/>
      <c r="D970" s="51" t="n"/>
      <c r="E970" s="52" t="n"/>
    </row>
    <row r="971" ht="14.25" customHeight="1" s="96">
      <c r="A971" s="51" t="n"/>
      <c r="B971" s="51" t="n"/>
      <c r="C971" s="51" t="n"/>
      <c r="D971" s="51" t="n"/>
      <c r="E971" s="52" t="n"/>
    </row>
    <row r="972" ht="14.25" customHeight="1" s="96">
      <c r="A972" s="51" t="n"/>
      <c r="B972" s="51" t="n"/>
      <c r="C972" s="51" t="n"/>
      <c r="D972" s="51" t="n"/>
      <c r="E972" s="52" t="n"/>
    </row>
    <row r="973" ht="14.25" customHeight="1" s="96">
      <c r="A973" s="51" t="n"/>
      <c r="B973" s="51" t="n"/>
      <c r="C973" s="51" t="n"/>
      <c r="D973" s="51" t="n"/>
      <c r="E973" s="52" t="n"/>
    </row>
    <row r="974" ht="14.25" customHeight="1" s="96">
      <c r="A974" s="51" t="n"/>
      <c r="B974" s="51" t="n"/>
      <c r="C974" s="51" t="n"/>
      <c r="D974" s="51" t="n"/>
      <c r="E974" s="52" t="n"/>
    </row>
    <row r="975" ht="14.25" customHeight="1" s="96">
      <c r="A975" s="51" t="n"/>
      <c r="B975" s="51" t="n"/>
      <c r="C975" s="51" t="n"/>
      <c r="D975" s="51" t="n"/>
      <c r="E975" s="52" t="n"/>
    </row>
    <row r="976" ht="14.25" customHeight="1" s="96">
      <c r="A976" s="51" t="n"/>
      <c r="B976" s="51" t="n"/>
      <c r="C976" s="51" t="n"/>
      <c r="D976" s="51" t="n"/>
      <c r="E976" s="52" t="n"/>
    </row>
    <row r="977" ht="14.25" customHeight="1" s="96">
      <c r="A977" s="51" t="n"/>
      <c r="B977" s="51" t="n"/>
      <c r="C977" s="51" t="n"/>
      <c r="D977" s="51" t="n"/>
      <c r="E977" s="52" t="n"/>
    </row>
    <row r="978" ht="14.25" customHeight="1" s="96">
      <c r="A978" s="51" t="n"/>
      <c r="B978" s="51" t="n"/>
      <c r="C978" s="51" t="n"/>
      <c r="D978" s="51" t="n"/>
      <c r="E978" s="52" t="n"/>
    </row>
    <row r="979" ht="14.25" customHeight="1" s="96">
      <c r="A979" s="51" t="n"/>
      <c r="B979" s="51" t="n"/>
      <c r="C979" s="51" t="n"/>
      <c r="D979" s="51" t="n"/>
      <c r="E979" s="52" t="n"/>
    </row>
    <row r="980" ht="14.25" customHeight="1" s="96">
      <c r="A980" s="51" t="n"/>
      <c r="B980" s="51" t="n"/>
      <c r="C980" s="51" t="n"/>
      <c r="D980" s="51" t="n"/>
      <c r="E980" s="52" t="n"/>
    </row>
    <row r="981" ht="14.25" customHeight="1" s="96">
      <c r="A981" s="51" t="n"/>
      <c r="B981" s="51" t="n"/>
      <c r="C981" s="51" t="n"/>
      <c r="D981" s="51" t="n"/>
      <c r="E981" s="52" t="n"/>
    </row>
    <row r="982" ht="14.25" customHeight="1" s="96">
      <c r="A982" s="51" t="n"/>
      <c r="B982" s="51" t="n"/>
      <c r="C982" s="51" t="n"/>
      <c r="D982" s="51" t="n"/>
      <c r="E982" s="52" t="n"/>
    </row>
    <row r="983" ht="14.25" customHeight="1" s="96">
      <c r="A983" s="51" t="n"/>
      <c r="B983" s="51" t="n"/>
      <c r="C983" s="51" t="n"/>
      <c r="D983" s="51" t="n"/>
      <c r="E983" s="52" t="n"/>
    </row>
    <row r="984" ht="14.25" customHeight="1" s="96">
      <c r="A984" s="51" t="n"/>
      <c r="B984" s="51" t="n"/>
      <c r="C984" s="51" t="n"/>
      <c r="D984" s="51" t="n"/>
      <c r="E984" s="52" t="n"/>
    </row>
    <row r="985" ht="14.25" customHeight="1" s="96">
      <c r="A985" s="51" t="n"/>
      <c r="B985" s="51" t="n"/>
      <c r="C985" s="51" t="n"/>
      <c r="D985" s="51" t="n"/>
      <c r="E985" s="52" t="n"/>
    </row>
    <row r="986" ht="14.25" customHeight="1" s="96">
      <c r="A986" s="51" t="n"/>
      <c r="B986" s="51" t="n"/>
      <c r="C986" s="51" t="n"/>
      <c r="D986" s="51" t="n"/>
      <c r="E986" s="52" t="n"/>
    </row>
    <row r="987" ht="14.25" customHeight="1" s="96">
      <c r="A987" s="51" t="n"/>
      <c r="B987" s="51" t="n"/>
      <c r="C987" s="51" t="n"/>
      <c r="D987" s="51" t="n"/>
      <c r="E987" s="52" t="n"/>
    </row>
    <row r="988" ht="14.25" customHeight="1" s="96">
      <c r="A988" s="51" t="n"/>
      <c r="B988" s="51" t="n"/>
      <c r="C988" s="51" t="n"/>
      <c r="D988" s="51" t="n"/>
      <c r="E988" s="52" t="n"/>
    </row>
    <row r="989" ht="14.25" customHeight="1" s="96">
      <c r="A989" s="51" t="n"/>
      <c r="B989" s="51" t="n"/>
      <c r="C989" s="51" t="n"/>
      <c r="D989" s="51" t="n"/>
      <c r="E989" s="52" t="n"/>
    </row>
    <row r="990" ht="14.25" customHeight="1" s="96">
      <c r="A990" s="51" t="n"/>
      <c r="B990" s="51" t="n"/>
      <c r="C990" s="51" t="n"/>
      <c r="D990" s="51" t="n"/>
      <c r="E990" s="52" t="n"/>
    </row>
    <row r="991" ht="14.25" customHeight="1" s="96">
      <c r="A991" s="51" t="n"/>
      <c r="B991" s="51" t="n"/>
      <c r="C991" s="51" t="n"/>
      <c r="D991" s="51" t="n"/>
      <c r="E991" s="52" t="n"/>
    </row>
    <row r="992" ht="14.25" customHeight="1" s="96">
      <c r="A992" s="51" t="n"/>
      <c r="B992" s="51" t="n"/>
      <c r="C992" s="51" t="n"/>
      <c r="D992" s="51" t="n"/>
      <c r="E992" s="52" t="n"/>
    </row>
    <row r="993" ht="14.25" customHeight="1" s="96">
      <c r="A993" s="51" t="n"/>
      <c r="B993" s="51" t="n"/>
      <c r="C993" s="51" t="n"/>
      <c r="D993" s="51" t="n"/>
      <c r="E993" s="52" t="n"/>
    </row>
    <row r="994" ht="14.25" customHeight="1" s="96">
      <c r="A994" s="51" t="n"/>
      <c r="B994" s="51" t="n"/>
      <c r="C994" s="51" t="n"/>
      <c r="D994" s="51" t="n"/>
      <c r="E994" s="52" t="n"/>
    </row>
    <row r="995" ht="14.25" customHeight="1" s="96">
      <c r="A995" s="51" t="n"/>
      <c r="B995" s="51" t="n"/>
      <c r="C995" s="51" t="n"/>
      <c r="D995" s="51" t="n"/>
      <c r="E995" s="52" t="n"/>
    </row>
    <row r="996" ht="14.25" customHeight="1" s="96">
      <c r="A996" s="51" t="n"/>
      <c r="B996" s="51" t="n"/>
      <c r="C996" s="51" t="n"/>
      <c r="D996" s="51" t="n"/>
      <c r="E996" s="52" t="n"/>
    </row>
    <row r="997" ht="14.25" customHeight="1" s="96">
      <c r="A997" s="51" t="n"/>
      <c r="B997" s="51" t="n"/>
      <c r="C997" s="51" t="n"/>
      <c r="D997" s="51" t="n"/>
      <c r="E997" s="52" t="n"/>
    </row>
    <row r="998" ht="14.25" customHeight="1" s="96">
      <c r="A998" s="51" t="n"/>
      <c r="B998" s="51" t="n"/>
      <c r="C998" s="51" t="n"/>
      <c r="D998" s="51" t="n"/>
      <c r="E998" s="52" t="n"/>
    </row>
    <row r="999" ht="14.25" customHeight="1" s="96">
      <c r="A999" s="51" t="n"/>
      <c r="B999" s="51" t="n"/>
      <c r="C999" s="51" t="n"/>
      <c r="D999" s="51" t="n"/>
      <c r="E999" s="52" t="n"/>
    </row>
    <row r="1000" ht="14.25" customHeight="1" s="96">
      <c r="A1000" s="51" t="n"/>
      <c r="B1000" s="51" t="n"/>
      <c r="C1000" s="51" t="n"/>
      <c r="D1000" s="51" t="n"/>
      <c r="E1000" s="5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8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96" min="1" max="1"/>
    <col width="5.14" customWidth="1" style="96" min="2" max="2"/>
    <col width="8.710000000000001" customWidth="1" style="96" min="3" max="6"/>
    <col width="16" customWidth="1" style="96" min="7" max="7"/>
    <col width="8.710000000000001" customWidth="1" style="96" min="8" max="13"/>
    <col width="9.57" customWidth="1" style="96" min="14" max="14"/>
    <col width="14.43" customWidth="1" style="96" min="15" max="15"/>
    <col width="14.14" customWidth="1" style="96" min="16" max="17"/>
    <col width="18.57" customWidth="1" style="96" min="18" max="18"/>
    <col width="8.710000000000001" customWidth="1" style="96" min="19" max="24"/>
    <col width="12" customWidth="1" style="96" min="26" max="26"/>
    <col width="12" customWidth="1" style="96" min="27" max="27"/>
    <col width="12" customWidth="1" style="96" min="28" max="28"/>
    <col width="12" customWidth="1" style="96" min="29" max="29"/>
    <col width="12" customWidth="1" style="96" min="30" max="30"/>
    <col width="12" customWidth="1" style="96" min="31" max="31"/>
    <col width="12" customWidth="1" style="96" min="32" max="32"/>
    <col width="12" customWidth="1" style="96" min="33" max="33"/>
  </cols>
  <sheetData>
    <row r="1" ht="14.25" customHeight="1" s="96">
      <c r="A1" s="6" t="n"/>
      <c r="B1" s="6" t="n"/>
      <c r="C1" s="6" t="n"/>
      <c r="D1" s="2" t="n"/>
      <c r="I1" s="6" t="n"/>
      <c r="P1" s="3" t="n"/>
      <c r="Q1" s="3" t="n"/>
      <c r="R1" s="3" t="n"/>
    </row>
    <row r="2" ht="14.25" customHeight="1" s="96">
      <c r="A2" s="6" t="n"/>
      <c r="B2" s="6" t="n"/>
      <c r="C2" s="6" t="n"/>
      <c r="D2" s="2" t="n"/>
      <c r="G2" s="5" t="inlineStr">
        <is>
          <t>Setosa = 0</t>
        </is>
      </c>
      <c r="I2" s="97" t="inlineStr">
        <is>
          <t>Learning Rate</t>
        </is>
      </c>
      <c r="J2" s="98" t="n"/>
      <c r="K2" s="99" t="n">
        <v>0.1</v>
      </c>
      <c r="L2" s="100" t="n"/>
      <c r="P2" s="3" t="n"/>
      <c r="Q2" s="3" t="n"/>
      <c r="R2" s="3" t="n"/>
    </row>
    <row r="3" ht="14.25" customHeight="1" s="96">
      <c r="C3" s="6" t="n"/>
      <c r="G3" s="13" t="inlineStr">
        <is>
          <t>Versicolor = 1</t>
        </is>
      </c>
      <c r="I3" s="101" t="inlineStr">
        <is>
          <t>Bobot bias</t>
        </is>
      </c>
      <c r="J3" s="102" t="n"/>
      <c r="K3" s="102" t="n"/>
      <c r="L3" s="102" t="n"/>
      <c r="M3" s="103" t="n"/>
      <c r="N3" s="17" t="inlineStr">
        <is>
          <t>dot product</t>
        </is>
      </c>
      <c r="O3" s="18" t="inlineStr">
        <is>
          <t>Sigmoid</t>
        </is>
      </c>
      <c r="P3" s="23" t="inlineStr">
        <is>
          <t>Prediksi</t>
        </is>
      </c>
      <c r="Q3" s="23" t="inlineStr">
        <is>
          <t>error</t>
        </is>
      </c>
      <c r="R3" s="104" t="inlineStr">
        <is>
          <t>Sum Square Error</t>
        </is>
      </c>
      <c r="S3" s="105" t="inlineStr">
        <is>
          <t>Benar?</t>
        </is>
      </c>
      <c r="Z3" s="106" t="inlineStr">
        <is>
          <t>REKAP TRAINING PER EPOCH</t>
        </is>
      </c>
    </row>
    <row r="4" ht="14.25" customHeight="1" s="96">
      <c r="A4" s="21" t="inlineStr">
        <is>
          <t>EPOCH</t>
        </is>
      </c>
      <c r="B4" s="22" t="inlineStr">
        <is>
          <t>No</t>
        </is>
      </c>
      <c r="C4" s="23" t="inlineStr">
        <is>
          <t>X1</t>
        </is>
      </c>
      <c r="D4" s="23" t="inlineStr">
        <is>
          <t>X2</t>
        </is>
      </c>
      <c r="E4" s="23" t="inlineStr">
        <is>
          <t>X3</t>
        </is>
      </c>
      <c r="F4" s="23" t="inlineStr">
        <is>
          <t>X4</t>
        </is>
      </c>
      <c r="G4" s="24" t="inlineStr">
        <is>
          <t>TARGET</t>
        </is>
      </c>
      <c r="I4" s="25" t="inlineStr">
        <is>
          <t>bias</t>
        </is>
      </c>
      <c r="J4" s="26" t="inlineStr">
        <is>
          <t>teta1</t>
        </is>
      </c>
      <c r="K4" s="28" t="inlineStr">
        <is>
          <t>teta2</t>
        </is>
      </c>
      <c r="L4" s="28" t="inlineStr">
        <is>
          <t>teta 3</t>
        </is>
      </c>
      <c r="M4" s="28" t="inlineStr">
        <is>
          <t>teta4</t>
        </is>
      </c>
      <c r="N4" s="28" t="inlineStr">
        <is>
          <t>z</t>
        </is>
      </c>
      <c r="O4" s="28" t="inlineStr">
        <is>
          <t>g(z)</t>
        </is>
      </c>
      <c r="P4" s="107" t="n"/>
      <c r="Q4" s="107" t="n"/>
      <c r="R4" s="108" t="n"/>
      <c r="S4" s="105" t="inlineStr">
        <is>
          <t>benar</t>
        </is>
      </c>
      <c r="T4" s="42" t="inlineStr">
        <is>
          <t>dbias</t>
        </is>
      </c>
      <c r="U4" s="42" t="inlineStr">
        <is>
          <t>dteta1</t>
        </is>
      </c>
      <c r="V4" s="42" t="inlineStr">
        <is>
          <t>dteta2</t>
        </is>
      </c>
      <c r="W4" s="42" t="inlineStr">
        <is>
          <t>dteta3</t>
        </is>
      </c>
      <c r="X4" s="42" t="inlineStr">
        <is>
          <t>dteta4</t>
        </is>
      </c>
      <c r="Z4" s="109" t="inlineStr">
        <is>
          <t>Epoch</t>
        </is>
      </c>
      <c r="AA4" s="109" t="inlineStr">
        <is>
          <t>Loss (MSE)</t>
        </is>
      </c>
      <c r="AB4" s="109" t="inlineStr">
        <is>
          <t>Accuracy</t>
        </is>
      </c>
      <c r="AC4" s="109" t="inlineStr">
        <is>
          <t>bias*</t>
        </is>
      </c>
      <c r="AD4" s="109" t="inlineStr">
        <is>
          <t>teta1*</t>
        </is>
      </c>
      <c r="AE4" s="109" t="inlineStr">
        <is>
          <t>teta2*</t>
        </is>
      </c>
      <c r="AF4" s="109" t="inlineStr">
        <is>
          <t>teta3*</t>
        </is>
      </c>
      <c r="AG4" s="109" t="inlineStr">
        <is>
          <t>teta4*</t>
        </is>
      </c>
    </row>
    <row r="5" ht="14.25" customHeight="1" s="96">
      <c r="A5" s="110" t="inlineStr">
        <is>
          <t>epoch 1</t>
        </is>
      </c>
      <c r="B5" s="33" t="n">
        <v>1</v>
      </c>
      <c r="C5" s="4" t="n">
        <v>5.1</v>
      </c>
      <c r="D5" s="7" t="n">
        <v>3.5</v>
      </c>
      <c r="E5" s="7" t="n">
        <v>1.4</v>
      </c>
      <c r="F5" s="7" t="n">
        <v>0.2</v>
      </c>
      <c r="G5" s="34" t="n">
        <v>0</v>
      </c>
      <c r="H5" s="35" t="n"/>
      <c r="I5" s="73" t="n">
        <v>0.5</v>
      </c>
      <c r="J5" s="73" t="n">
        <v>0.5</v>
      </c>
      <c r="K5" s="73" t="n">
        <v>0.5</v>
      </c>
      <c r="L5" s="73" t="n">
        <v>0.5</v>
      </c>
      <c r="M5" s="73" t="n">
        <v>0.5</v>
      </c>
      <c r="N5" s="38">
        <f>I5+J5*C5+K5*D5+L5*E5+F5*M5</f>
        <v/>
      </c>
      <c r="O5" s="38">
        <f>1/(1+EXP(-N5))</f>
        <v/>
      </c>
      <c r="P5" s="40">
        <f>IF(O5&gt;0.5,1,0)</f>
        <v/>
      </c>
      <c r="Q5" s="40">
        <f>O5-G5</f>
        <v/>
      </c>
      <c r="R5" s="41">
        <f>Q5^2</f>
        <v/>
      </c>
      <c r="S5">
        <f>IF(P5=G5,1,0)</f>
        <v/>
      </c>
      <c r="T5" s="42">
        <f>2*(O5-G5)*(1-O5)*O5</f>
        <v/>
      </c>
      <c r="U5" s="42">
        <f>2*(O5-G5)*(1-O5)*O5*C5</f>
        <v/>
      </c>
      <c r="V5" s="42">
        <f>2*(O5-G5)*(1-O5)*O5*D5</f>
        <v/>
      </c>
      <c r="W5" s="42">
        <f>2*(O5-G5)*(1-O5)*O5*E5</f>
        <v/>
      </c>
      <c r="X5" s="42">
        <f>2*(O5-G5)*(1-O5)*O5*F5</f>
        <v/>
      </c>
      <c r="Z5" t="n">
        <v>1</v>
      </c>
      <c r="AA5" s="111">
        <f>AVERAGE(R5:R84)</f>
        <v/>
      </c>
      <c r="AB5" s="112">
        <f>AVERAGE(S5:S84)</f>
        <v/>
      </c>
      <c r="AC5" s="113">
        <f>I84-$K$2*T84</f>
        <v/>
      </c>
      <c r="AD5" s="113">
        <f>J84-$K$2*U84</f>
        <v/>
      </c>
      <c r="AE5" s="113">
        <f>K84-$K$2*V84</f>
        <v/>
      </c>
      <c r="AF5" s="113">
        <f>L84-$K$2*W84</f>
        <v/>
      </c>
      <c r="AG5" s="113">
        <f>M84-$K$2*X84</f>
        <v/>
      </c>
    </row>
    <row r="6" ht="14.25" customHeight="1" s="96">
      <c r="A6" s="114" t="n"/>
      <c r="B6" s="44" t="n">
        <v>2</v>
      </c>
      <c r="C6" s="4" t="n">
        <v>4.9</v>
      </c>
      <c r="D6" s="7" t="n">
        <v>3</v>
      </c>
      <c r="E6" s="7" t="n">
        <v>1.4</v>
      </c>
      <c r="F6" s="7" t="n">
        <v>0.2</v>
      </c>
      <c r="G6" s="45" t="n">
        <v>0</v>
      </c>
      <c r="I6" s="44">
        <f>I5-$K$2*T5</f>
        <v/>
      </c>
      <c r="J6" s="46">
        <f>J5-$K$2*U5</f>
        <v/>
      </c>
      <c r="K6" s="46">
        <f>K5-$K$2*V5</f>
        <v/>
      </c>
      <c r="L6" s="46">
        <f>L5-$K$2*W5</f>
        <v/>
      </c>
      <c r="M6" s="46">
        <f>M5-$K$2*X5</f>
        <v/>
      </c>
      <c r="N6" s="38">
        <f>I6+J6*C6+K6*D6+L6*E6+F6*M6</f>
        <v/>
      </c>
      <c r="O6" s="38">
        <f>1/(1+EXP(-N6))</f>
        <v/>
      </c>
      <c r="P6" s="47">
        <f>IF(O6&gt;0.5,1,0)</f>
        <v/>
      </c>
      <c r="Q6" s="47">
        <f>O6-G6</f>
        <v/>
      </c>
      <c r="R6" s="48">
        <f>Q6^2</f>
        <v/>
      </c>
      <c r="S6">
        <f>IF(P6=G6,1,0)</f>
        <v/>
      </c>
      <c r="T6">
        <f>2*(O6-G6)*(1-O6)*O6</f>
        <v/>
      </c>
      <c r="U6">
        <f>2*(O6-G6)*(1-O6)*O6*C6</f>
        <v/>
      </c>
      <c r="V6">
        <f>2*(O6-G6)*(1-O6)*O6*D6</f>
        <v/>
      </c>
      <c r="W6">
        <f>2*(O6-G6)*(1-O6)*O6*E6</f>
        <v/>
      </c>
      <c r="X6">
        <f>2*(O6-G6)*(1-O6)*O6*F6</f>
        <v/>
      </c>
      <c r="Z6" t="n">
        <v>2</v>
      </c>
      <c r="AA6" s="111">
        <f>AVERAGE(R85:R164)</f>
        <v/>
      </c>
      <c r="AB6" s="112">
        <f>AVERAGE(S85:S164)</f>
        <v/>
      </c>
      <c r="AC6" s="113">
        <f>I164-$K$2*T164</f>
        <v/>
      </c>
      <c r="AD6" s="113">
        <f>J164-$K$2*U164</f>
        <v/>
      </c>
      <c r="AE6" s="113">
        <f>K164-$K$2*V164</f>
        <v/>
      </c>
      <c r="AF6" s="113">
        <f>L164-$K$2*W164</f>
        <v/>
      </c>
      <c r="AG6" s="113">
        <f>M164-$K$2*X164</f>
        <v/>
      </c>
    </row>
    <row r="7" ht="14.25" customHeight="1" s="96">
      <c r="A7" s="114" t="n"/>
      <c r="B7" s="33" t="n">
        <v>3</v>
      </c>
      <c r="C7" s="4" t="n">
        <v>4.7</v>
      </c>
      <c r="D7" s="7" t="n">
        <v>3.2</v>
      </c>
      <c r="E7" s="7" t="n">
        <v>1.3</v>
      </c>
      <c r="F7" s="7" t="n">
        <v>0.2</v>
      </c>
      <c r="G7" s="45" t="n">
        <v>0</v>
      </c>
      <c r="I7" s="44">
        <f>I6-$K$2*T6</f>
        <v/>
      </c>
      <c r="J7" s="46">
        <f>J6-$K$2*U6</f>
        <v/>
      </c>
      <c r="K7" s="46">
        <f>K6-$K$2*V6</f>
        <v/>
      </c>
      <c r="L7" s="46">
        <f>L6-$K$2*W6</f>
        <v/>
      </c>
      <c r="M7" s="46">
        <f>M6-$K$2*X6</f>
        <v/>
      </c>
      <c r="N7" s="46">
        <f>I7+J7*C7+K7*D7+L7*E7+F7*M7</f>
        <v/>
      </c>
      <c r="O7" s="46">
        <f>1/(1+EXP(-N7))</f>
        <v/>
      </c>
      <c r="P7" s="47">
        <f>IF(O7&gt;0.5,1,0)</f>
        <v/>
      </c>
      <c r="Q7" s="47">
        <f>O7-G7</f>
        <v/>
      </c>
      <c r="R7" s="48">
        <f>Q7^2</f>
        <v/>
      </c>
      <c r="S7">
        <f>IF(P7=G7,1,0)</f>
        <v/>
      </c>
      <c r="T7">
        <f>2*(O7-G7)*(1-O7)*O7</f>
        <v/>
      </c>
      <c r="U7">
        <f>2*(O7-G7)*(1-O7)*O7*C7</f>
        <v/>
      </c>
      <c r="V7">
        <f>2*(O7-G7)*(1-O7)*O7*D7</f>
        <v/>
      </c>
      <c r="W7">
        <f>2*(O7-G7)*(1-O7)*O7*E7</f>
        <v/>
      </c>
      <c r="X7">
        <f>2*(O7-G7)*(1-O7)*O7*F7</f>
        <v/>
      </c>
      <c r="Z7" t="n">
        <v>3</v>
      </c>
      <c r="AA7" s="111">
        <f>AVERAGE(R165:R244)</f>
        <v/>
      </c>
      <c r="AB7" s="112">
        <f>AVERAGE(S165:S244)</f>
        <v/>
      </c>
      <c r="AC7" s="113">
        <f>I244-$K$2*T244</f>
        <v/>
      </c>
      <c r="AD7" s="113">
        <f>J244-$K$2*U244</f>
        <v/>
      </c>
      <c r="AE7" s="113">
        <f>K244-$K$2*V244</f>
        <v/>
      </c>
      <c r="AF7" s="113">
        <f>L244-$K$2*W244</f>
        <v/>
      </c>
      <c r="AG7" s="113">
        <f>M244-$K$2*X244</f>
        <v/>
      </c>
    </row>
    <row r="8" ht="14.25" customHeight="1" s="96">
      <c r="A8" s="114" t="n"/>
      <c r="B8" s="44" t="n">
        <v>4</v>
      </c>
      <c r="C8" s="4" t="n">
        <v>4.6</v>
      </c>
      <c r="D8" s="7" t="n">
        <v>3.1</v>
      </c>
      <c r="E8" s="7" t="n">
        <v>1.5</v>
      </c>
      <c r="F8" s="7" t="n">
        <v>0.2</v>
      </c>
      <c r="G8" s="45" t="n">
        <v>0</v>
      </c>
      <c r="I8" s="44">
        <f>I7-$K$2*T7</f>
        <v/>
      </c>
      <c r="J8" s="46">
        <f>J7-$K$2*U7</f>
        <v/>
      </c>
      <c r="K8" s="46">
        <f>K7-$K$2*V7</f>
        <v/>
      </c>
      <c r="L8" s="46">
        <f>L7-$K$2*W7</f>
        <v/>
      </c>
      <c r="M8" s="46">
        <f>M7-$K$2*X7</f>
        <v/>
      </c>
      <c r="N8" s="46">
        <f>I8+J8*C8+K8*D8+L8*E8+F8*M8</f>
        <v/>
      </c>
      <c r="O8" s="46">
        <f>1/(1+EXP(-N8))</f>
        <v/>
      </c>
      <c r="P8" s="47">
        <f>IF(O8&gt;0.5,1,0)</f>
        <v/>
      </c>
      <c r="Q8" s="47">
        <f>O8-G8</f>
        <v/>
      </c>
      <c r="R8" s="48">
        <f>Q8^2</f>
        <v/>
      </c>
      <c r="S8">
        <f>IF(P8=G8,1,0)</f>
        <v/>
      </c>
      <c r="T8" s="72">
        <f>2*(O8-G8)*(1-O8)*O8</f>
        <v/>
      </c>
      <c r="U8" s="72">
        <f>2*(O8-G8)*(1-O8)*O8*C8</f>
        <v/>
      </c>
      <c r="V8">
        <f>2*(O8-G8)*(1-O8)*O8*D8</f>
        <v/>
      </c>
      <c r="W8">
        <f>2*(O8-G8)*(1-O8)*O8*E8</f>
        <v/>
      </c>
      <c r="X8">
        <f>2*(O8-G8)*(1-O8)*O8*F8</f>
        <v/>
      </c>
      <c r="Z8" t="n">
        <v>4</v>
      </c>
      <c r="AA8" s="111">
        <f>AVERAGE(R245:R324)</f>
        <v/>
      </c>
      <c r="AB8" s="112">
        <f>AVERAGE(S245:S324)</f>
        <v/>
      </c>
      <c r="AC8" s="113">
        <f>I324-$K$2*T324</f>
        <v/>
      </c>
      <c r="AD8" s="113">
        <f>J324-$K$2*U324</f>
        <v/>
      </c>
      <c r="AE8" s="113">
        <f>K324-$K$2*V324</f>
        <v/>
      </c>
      <c r="AF8" s="113">
        <f>L324-$K$2*W324</f>
        <v/>
      </c>
      <c r="AG8" s="113">
        <f>M324-$K$2*X324</f>
        <v/>
      </c>
    </row>
    <row r="9" ht="14.25" customHeight="1" s="96">
      <c r="A9" s="114" t="n"/>
      <c r="B9" s="33" t="n">
        <v>5</v>
      </c>
      <c r="C9" s="4" t="n">
        <v>5</v>
      </c>
      <c r="D9" s="7" t="n">
        <v>3.6</v>
      </c>
      <c r="E9" s="7" t="n">
        <v>1.4</v>
      </c>
      <c r="F9" s="7" t="n">
        <v>0.2</v>
      </c>
      <c r="G9" s="45" t="n">
        <v>0</v>
      </c>
      <c r="I9" s="44">
        <f>I8-$K$2*T8</f>
        <v/>
      </c>
      <c r="J9" s="46">
        <f>J8-$K$2*U8</f>
        <v/>
      </c>
      <c r="K9" s="46">
        <f>K8-$K$2*V8</f>
        <v/>
      </c>
      <c r="L9" s="46">
        <f>L8-$K$2*W8</f>
        <v/>
      </c>
      <c r="M9" s="46">
        <f>M8-$K$2*X8</f>
        <v/>
      </c>
      <c r="N9" s="46">
        <f>I9+J9*C9+K9*D9+L9*E9+F9*M9</f>
        <v/>
      </c>
      <c r="O9" s="46">
        <f>1/(1+EXP(-N9))</f>
        <v/>
      </c>
      <c r="P9" s="47">
        <f>IF(O9&gt;0.5,1,0)</f>
        <v/>
      </c>
      <c r="Q9" s="47">
        <f>O9-G9</f>
        <v/>
      </c>
      <c r="R9" s="48">
        <f>Q9^2</f>
        <v/>
      </c>
      <c r="S9">
        <f>IF(P9=G9,1,0)</f>
        <v/>
      </c>
      <c r="T9" s="72">
        <f>2*(O9-G9)*(1-O9)*O9</f>
        <v/>
      </c>
      <c r="U9">
        <f>2*(O9-G9)*(1-O9)*O9*C9</f>
        <v/>
      </c>
      <c r="V9">
        <f>2*(O9-G9)*(1-O9)*O9*D9</f>
        <v/>
      </c>
      <c r="W9">
        <f>2*(O9-G9)*(1-O9)*O9*E9</f>
        <v/>
      </c>
      <c r="X9">
        <f>2*(O9-G9)*(1-O9)*O9*F9</f>
        <v/>
      </c>
      <c r="Z9" t="n">
        <v>5</v>
      </c>
      <c r="AA9" s="111">
        <f>AVERAGE(R325:R404)</f>
        <v/>
      </c>
      <c r="AB9" s="112">
        <f>AVERAGE(S325:S404)</f>
        <v/>
      </c>
      <c r="AC9" s="113">
        <f>I404-$K$2*T404</f>
        <v/>
      </c>
      <c r="AD9" s="113">
        <f>J404-$K$2*U404</f>
        <v/>
      </c>
      <c r="AE9" s="113">
        <f>K404-$K$2*V404</f>
        <v/>
      </c>
      <c r="AF9" s="113">
        <f>L404-$K$2*W404</f>
        <v/>
      </c>
      <c r="AG9" s="113">
        <f>M404-$K$2*X404</f>
        <v/>
      </c>
    </row>
    <row r="10" ht="14.25" customHeight="1" s="96">
      <c r="A10" s="114" t="n"/>
      <c r="B10" s="44" t="n">
        <v>6</v>
      </c>
      <c r="C10" s="4" t="n">
        <v>5.4</v>
      </c>
      <c r="D10" s="7" t="n">
        <v>3.9</v>
      </c>
      <c r="E10" s="7" t="n">
        <v>1.7</v>
      </c>
      <c r="F10" s="7" t="n">
        <v>0.4</v>
      </c>
      <c r="G10" s="45" t="n">
        <v>0</v>
      </c>
      <c r="I10" s="44">
        <f>I9-$K$2*T9</f>
        <v/>
      </c>
      <c r="J10" s="46">
        <f>J9-$K$2*U9</f>
        <v/>
      </c>
      <c r="K10" s="46">
        <f>K9-$K$2*V9</f>
        <v/>
      </c>
      <c r="L10" s="46">
        <f>L9-$K$2*W9</f>
        <v/>
      </c>
      <c r="M10" s="46">
        <f>M9-$K$2*X9</f>
        <v/>
      </c>
      <c r="N10" s="46">
        <f>I10+J10*C10+K10*D10+L10*E10+F10*M10</f>
        <v/>
      </c>
      <c r="O10" s="46">
        <f>1/(1+EXP(-N10))</f>
        <v/>
      </c>
      <c r="P10" s="47">
        <f>IF(O10&gt;0.5,1,0)</f>
        <v/>
      </c>
      <c r="Q10" s="47">
        <f>O10-G10</f>
        <v/>
      </c>
      <c r="R10" s="48">
        <f>Q10^2</f>
        <v/>
      </c>
      <c r="S10">
        <f>IF(P10=G10,1,0)</f>
        <v/>
      </c>
      <c r="T10" s="72">
        <f>2*(O10-G10)*(1-O10)*O10</f>
        <v/>
      </c>
      <c r="U10">
        <f>2*(O10-G10)*(1-O10)*O10*C10</f>
        <v/>
      </c>
      <c r="V10">
        <f>2*(O10-G10)*(1-O10)*O10*D10</f>
        <v/>
      </c>
      <c r="W10">
        <f>2*(O10-G10)*(1-O10)*O10*E10</f>
        <v/>
      </c>
      <c r="X10">
        <f>2*(O10-G10)*(1-O10)*O10*F10</f>
        <v/>
      </c>
    </row>
    <row r="11" ht="14.25" customHeight="1" s="96">
      <c r="A11" s="114" t="n"/>
      <c r="B11" s="33" t="n">
        <v>7</v>
      </c>
      <c r="C11" s="4" t="n">
        <v>4.6</v>
      </c>
      <c r="D11" s="7" t="n">
        <v>3.4</v>
      </c>
      <c r="E11" s="7" t="n">
        <v>1.4</v>
      </c>
      <c r="F11" s="7" t="n">
        <v>0.3</v>
      </c>
      <c r="G11" s="45" t="n">
        <v>0</v>
      </c>
      <c r="I11" s="44">
        <f>I10-$K$2*T10</f>
        <v/>
      </c>
      <c r="J11" s="46">
        <f>J10-$K$2*U10</f>
        <v/>
      </c>
      <c r="K11" s="46">
        <f>K10-$K$2*V10</f>
        <v/>
      </c>
      <c r="L11" s="46">
        <f>L10-$K$2*W10</f>
        <v/>
      </c>
      <c r="M11" s="46">
        <f>M10-$K$2*X10</f>
        <v/>
      </c>
      <c r="N11" s="46">
        <f>I11+J11*C11+K11*D11+L11*E11+F11*M11</f>
        <v/>
      </c>
      <c r="O11" s="46">
        <f>1/(1+EXP(-N11))</f>
        <v/>
      </c>
      <c r="P11" s="47">
        <f>IF(O11&gt;0.5,1,0)</f>
        <v/>
      </c>
      <c r="Q11" s="47">
        <f>O11-G11</f>
        <v/>
      </c>
      <c r="R11" s="48">
        <f>Q11^2</f>
        <v/>
      </c>
      <c r="S11">
        <f>IF(P11=G11,1,0)</f>
        <v/>
      </c>
      <c r="T11">
        <f>2*(O11-G11)*(1-O11)*O11</f>
        <v/>
      </c>
      <c r="U11">
        <f>2*(O11-G11)*(1-O11)*O11*C11</f>
        <v/>
      </c>
      <c r="V11">
        <f>2*(O11-G11)*(1-O11)*O11*D11</f>
        <v/>
      </c>
      <c r="W11">
        <f>2*(O11-G11)*(1-O11)*O11*E11</f>
        <v/>
      </c>
      <c r="X11">
        <f>2*(O11-G11)*(1-O11)*O11*F11</f>
        <v/>
      </c>
      <c r="Z11" s="115" t="inlineStr">
        <is>
          <t>* bobot pada akhir epoch, dipakai oleh sheet SLP-Validation</t>
        </is>
      </c>
    </row>
    <row r="12" ht="14.25" customHeight="1" s="96">
      <c r="A12" s="114" t="n"/>
      <c r="B12" s="44" t="n">
        <v>8</v>
      </c>
      <c r="C12" s="4" t="n">
        <v>5</v>
      </c>
      <c r="D12" s="7" t="n">
        <v>3.4</v>
      </c>
      <c r="E12" s="7" t="n">
        <v>1.5</v>
      </c>
      <c r="F12" s="7" t="n">
        <v>0.2</v>
      </c>
      <c r="G12" s="45" t="n">
        <v>0</v>
      </c>
      <c r="I12" s="44">
        <f>I11-$K$2*T11</f>
        <v/>
      </c>
      <c r="J12" s="46">
        <f>J11-$K$2*U11</f>
        <v/>
      </c>
      <c r="K12" s="46">
        <f>K11-$K$2*V11</f>
        <v/>
      </c>
      <c r="L12" s="46">
        <f>L11-$K$2*W11</f>
        <v/>
      </c>
      <c r="M12" s="46">
        <f>M11-$K$2*X11</f>
        <v/>
      </c>
      <c r="N12" s="46">
        <f>I12+J12*C12+K12*D12+L12*E12+F12*M12</f>
        <v/>
      </c>
      <c r="O12" s="46">
        <f>1/(1+EXP(-N12))</f>
        <v/>
      </c>
      <c r="P12" s="47">
        <f>IF(O12&gt;0.5,1,0)</f>
        <v/>
      </c>
      <c r="Q12" s="47">
        <f>O12-G12</f>
        <v/>
      </c>
      <c r="R12" s="48">
        <f>Q12^2</f>
        <v/>
      </c>
      <c r="S12">
        <f>IF(P12=G12,1,0)</f>
        <v/>
      </c>
      <c r="T12">
        <f>2*(O12-G12)*(1-O12)*O12</f>
        <v/>
      </c>
      <c r="U12">
        <f>2*(O12-G12)*(1-O12)*O12*C12</f>
        <v/>
      </c>
      <c r="V12">
        <f>2*(O12-G12)*(1-O12)*O12*D12</f>
        <v/>
      </c>
      <c r="W12">
        <f>2*(O12-G12)*(1-O12)*O12*E12</f>
        <v/>
      </c>
      <c r="X12">
        <f>2*(O12-G12)*(1-O12)*O12*F12</f>
        <v/>
      </c>
    </row>
    <row r="13" ht="14.25" customHeight="1" s="96">
      <c r="A13" s="114" t="n"/>
      <c r="B13" s="33" t="n">
        <v>9</v>
      </c>
      <c r="C13" s="4" t="n">
        <v>4.4</v>
      </c>
      <c r="D13" s="7" t="n">
        <v>2.9</v>
      </c>
      <c r="E13" s="7" t="n">
        <v>1.4</v>
      </c>
      <c r="F13" s="7" t="n">
        <v>0.2</v>
      </c>
      <c r="G13" s="45" t="n">
        <v>0</v>
      </c>
      <c r="I13" s="44">
        <f>I12-$K$2*T12</f>
        <v/>
      </c>
      <c r="J13" s="46">
        <f>J12-$K$2*U12</f>
        <v/>
      </c>
      <c r="K13" s="46">
        <f>K12-$K$2*V12</f>
        <v/>
      </c>
      <c r="L13" s="46">
        <f>L12-$K$2*W12</f>
        <v/>
      </c>
      <c r="M13" s="46">
        <f>M12-$K$2*X12</f>
        <v/>
      </c>
      <c r="N13" s="46">
        <f>I13+J13*C13+K13*D13+L13*E13+F13*M13</f>
        <v/>
      </c>
      <c r="O13" s="46">
        <f>1/(1+EXP(-N13))</f>
        <v/>
      </c>
      <c r="P13" s="47">
        <f>IF(O13&gt;0.5,1,0)</f>
        <v/>
      </c>
      <c r="Q13" s="47">
        <f>O13-G13</f>
        <v/>
      </c>
      <c r="R13" s="48">
        <f>Q13^2</f>
        <v/>
      </c>
      <c r="S13">
        <f>IF(P13=G13,1,0)</f>
        <v/>
      </c>
      <c r="T13">
        <f>2*(O13-G13)*(1-O13)*O13</f>
        <v/>
      </c>
      <c r="U13">
        <f>2*(O13-G13)*(1-O13)*O13*C13</f>
        <v/>
      </c>
      <c r="V13">
        <f>2*(O13-G13)*(1-O13)*O13*D13</f>
        <v/>
      </c>
      <c r="W13">
        <f>2*(O13-G13)*(1-O13)*O13*E13</f>
        <v/>
      </c>
      <c r="X13">
        <f>2*(O13-G13)*(1-O13)*O13*F13</f>
        <v/>
      </c>
    </row>
    <row r="14" ht="14.25" customHeight="1" s="96">
      <c r="A14" s="114" t="n"/>
      <c r="B14" s="44" t="n">
        <v>10</v>
      </c>
      <c r="C14" s="4" t="n">
        <v>4.9</v>
      </c>
      <c r="D14" s="7" t="n">
        <v>3.1</v>
      </c>
      <c r="E14" s="7" t="n">
        <v>1.5</v>
      </c>
      <c r="F14" s="7" t="n">
        <v>0.1</v>
      </c>
      <c r="G14" s="45" t="n">
        <v>0</v>
      </c>
      <c r="I14" s="44">
        <f>I13-$K$2*T13</f>
        <v/>
      </c>
      <c r="J14" s="46">
        <f>J13-$K$2*U13</f>
        <v/>
      </c>
      <c r="K14" s="46">
        <f>K13-$K$2*V13</f>
        <v/>
      </c>
      <c r="L14" s="46">
        <f>L13-$K$2*W13</f>
        <v/>
      </c>
      <c r="M14" s="46">
        <f>M13-$K$2*X13</f>
        <v/>
      </c>
      <c r="N14" s="46">
        <f>I14+J14*C14+K14*D14+L14*E14+F14*M14</f>
        <v/>
      </c>
      <c r="O14" s="46">
        <f>1/(1+EXP(-N14))</f>
        <v/>
      </c>
      <c r="P14" s="47">
        <f>IF(O14&gt;0.5,1,0)</f>
        <v/>
      </c>
      <c r="Q14" s="47">
        <f>O14-G14</f>
        <v/>
      </c>
      <c r="R14" s="48">
        <f>Q14^2</f>
        <v/>
      </c>
      <c r="S14">
        <f>IF(P14=G14,1,0)</f>
        <v/>
      </c>
      <c r="T14">
        <f>2*(O14-G14)*(1-O14)*O14</f>
        <v/>
      </c>
      <c r="U14">
        <f>2*(O14-G14)*(1-O14)*O14*C14</f>
        <v/>
      </c>
      <c r="V14">
        <f>2*(O14-G14)*(1-O14)*O14*D14</f>
        <v/>
      </c>
      <c r="W14">
        <f>2*(O14-G14)*(1-O14)*O14*E14</f>
        <v/>
      </c>
      <c r="X14">
        <f>2*(O14-G14)*(1-O14)*O14*F14</f>
        <v/>
      </c>
    </row>
    <row r="15" ht="14.25" customHeight="1" s="96">
      <c r="A15" s="114" t="n"/>
      <c r="B15" s="33" t="n">
        <v>11</v>
      </c>
      <c r="C15" s="4" t="n">
        <v>5.4</v>
      </c>
      <c r="D15" s="7" t="n">
        <v>3.7</v>
      </c>
      <c r="E15" s="7" t="n">
        <v>1.5</v>
      </c>
      <c r="F15" s="7" t="n">
        <v>0.2</v>
      </c>
      <c r="G15" s="45" t="n">
        <v>0</v>
      </c>
      <c r="I15" s="44">
        <f>I14-$K$2*T14</f>
        <v/>
      </c>
      <c r="J15" s="46">
        <f>J14-$K$2*U14</f>
        <v/>
      </c>
      <c r="K15" s="46">
        <f>K14-$K$2*V14</f>
        <v/>
      </c>
      <c r="L15" s="46">
        <f>L14-$K$2*W14</f>
        <v/>
      </c>
      <c r="M15" s="46">
        <f>M14-$K$2*X14</f>
        <v/>
      </c>
      <c r="N15" s="46">
        <f>I15+J15*C15+K15*D15+L15*E15+F15*M15</f>
        <v/>
      </c>
      <c r="O15" s="46">
        <f>1/(1+EXP(-N15))</f>
        <v/>
      </c>
      <c r="P15" s="47">
        <f>IF(O15&gt;0.5,1,0)</f>
        <v/>
      </c>
      <c r="Q15" s="47">
        <f>O15-G15</f>
        <v/>
      </c>
      <c r="R15" s="48">
        <f>Q15^2</f>
        <v/>
      </c>
      <c r="S15">
        <f>IF(P15=G15,1,0)</f>
        <v/>
      </c>
      <c r="T15">
        <f>2*(O15-G15)*(1-O15)*O15</f>
        <v/>
      </c>
      <c r="U15">
        <f>2*(O15-G15)*(1-O15)*O15*C15</f>
        <v/>
      </c>
      <c r="V15">
        <f>2*(O15-G15)*(1-O15)*O15*D15</f>
        <v/>
      </c>
      <c r="W15">
        <f>2*(O15-G15)*(1-O15)*O15*E15</f>
        <v/>
      </c>
      <c r="X15">
        <f>2*(O15-G15)*(1-O15)*O15*F15</f>
        <v/>
      </c>
    </row>
    <row r="16" ht="14.25" customHeight="1" s="96">
      <c r="A16" s="114" t="n"/>
      <c r="B16" s="44" t="n">
        <v>12</v>
      </c>
      <c r="C16" s="4" t="n">
        <v>4.8</v>
      </c>
      <c r="D16" s="7" t="n">
        <v>3.4</v>
      </c>
      <c r="E16" s="7" t="n">
        <v>1.6</v>
      </c>
      <c r="F16" s="7" t="n">
        <v>0.2</v>
      </c>
      <c r="G16" s="45" t="n">
        <v>0</v>
      </c>
      <c r="I16" s="44">
        <f>I15-$K$2*T15</f>
        <v/>
      </c>
      <c r="J16" s="46">
        <f>J15-$K$2*U15</f>
        <v/>
      </c>
      <c r="K16" s="46">
        <f>K15-$K$2*V15</f>
        <v/>
      </c>
      <c r="L16" s="46">
        <f>L15-$K$2*W15</f>
        <v/>
      </c>
      <c r="M16" s="46">
        <f>M15-$K$2*X15</f>
        <v/>
      </c>
      <c r="N16" s="46">
        <f>I16+J16*C16+K16*D16+L16*E16+F16*M16</f>
        <v/>
      </c>
      <c r="O16" s="46">
        <f>1/(1+EXP(-N16))</f>
        <v/>
      </c>
      <c r="P16" s="47">
        <f>IF(O16&gt;0.5,1,0)</f>
        <v/>
      </c>
      <c r="Q16" s="47">
        <f>O16-G16</f>
        <v/>
      </c>
      <c r="R16" s="48">
        <f>Q16^2</f>
        <v/>
      </c>
      <c r="S16">
        <f>IF(P16=G16,1,0)</f>
        <v/>
      </c>
      <c r="T16">
        <f>2*(O16-G16)*(1-O16)*O16</f>
        <v/>
      </c>
      <c r="U16">
        <f>2*(O16-G16)*(1-O16)*O16*C16</f>
        <v/>
      </c>
      <c r="V16">
        <f>2*(O16-G16)*(1-O16)*O16*D16</f>
        <v/>
      </c>
      <c r="W16">
        <f>2*(O16-G16)*(1-O16)*O16*E16</f>
        <v/>
      </c>
      <c r="X16">
        <f>2*(O16-G16)*(1-O16)*O16*F16</f>
        <v/>
      </c>
    </row>
    <row r="17" ht="14.25" customHeight="1" s="96">
      <c r="A17" s="114" t="n"/>
      <c r="B17" s="33" t="n">
        <v>13</v>
      </c>
      <c r="C17" s="4" t="n">
        <v>4.8</v>
      </c>
      <c r="D17" s="7" t="n">
        <v>3</v>
      </c>
      <c r="E17" s="7" t="n">
        <v>1.4</v>
      </c>
      <c r="F17" s="7" t="n">
        <v>0.1</v>
      </c>
      <c r="G17" s="45" t="n">
        <v>0</v>
      </c>
      <c r="I17" s="44">
        <f>I16-$K$2*T16</f>
        <v/>
      </c>
      <c r="J17" s="46">
        <f>J16-$K$2*U16</f>
        <v/>
      </c>
      <c r="K17" s="46">
        <f>K16-$K$2*V16</f>
        <v/>
      </c>
      <c r="L17" s="46">
        <f>L16-$K$2*W16</f>
        <v/>
      </c>
      <c r="M17" s="46">
        <f>M16-$K$2*X16</f>
        <v/>
      </c>
      <c r="N17" s="46">
        <f>I17+J17*C17+K17*D17+L17*E17+F17*M17</f>
        <v/>
      </c>
      <c r="O17" s="46">
        <f>1/(1+EXP(-N17))</f>
        <v/>
      </c>
      <c r="P17" s="47">
        <f>IF(O17&gt;0.5,1,0)</f>
        <v/>
      </c>
      <c r="Q17" s="47">
        <f>O17-G17</f>
        <v/>
      </c>
      <c r="R17" s="48">
        <f>Q17^2</f>
        <v/>
      </c>
      <c r="S17">
        <f>IF(P17=G17,1,0)</f>
        <v/>
      </c>
      <c r="T17">
        <f>2*(O17-G17)*(1-O17)*O17</f>
        <v/>
      </c>
      <c r="U17">
        <f>2*(O17-G17)*(1-O17)*O17*C17</f>
        <v/>
      </c>
      <c r="V17">
        <f>2*(O17-G17)*(1-O17)*O17*D17</f>
        <v/>
      </c>
      <c r="W17">
        <f>2*(O17-G17)*(1-O17)*O17*E17</f>
        <v/>
      </c>
      <c r="X17">
        <f>2*(O17-G17)*(1-O17)*O17*F17</f>
        <v/>
      </c>
    </row>
    <row r="18" ht="14.25" customHeight="1" s="96">
      <c r="A18" s="114" t="n"/>
      <c r="B18" s="44" t="n">
        <v>14</v>
      </c>
      <c r="C18" s="4" t="n">
        <v>4.3</v>
      </c>
      <c r="D18" s="7" t="n">
        <v>3</v>
      </c>
      <c r="E18" s="7" t="n">
        <v>1.1</v>
      </c>
      <c r="F18" s="7" t="n">
        <v>0.1</v>
      </c>
      <c r="G18" s="45" t="n">
        <v>0</v>
      </c>
      <c r="I18" s="44">
        <f>I17-$K$2*T17</f>
        <v/>
      </c>
      <c r="J18" s="46">
        <f>J17-$K$2*U17</f>
        <v/>
      </c>
      <c r="K18" s="46">
        <f>K17-$K$2*V17</f>
        <v/>
      </c>
      <c r="L18" s="46">
        <f>L17-$K$2*W17</f>
        <v/>
      </c>
      <c r="M18" s="46">
        <f>M17-$K$2*X17</f>
        <v/>
      </c>
      <c r="N18" s="46">
        <f>I18+J18*C18+K18*D18+L18*E18+F18*M18</f>
        <v/>
      </c>
      <c r="O18" s="46">
        <f>1/(1+EXP(-N18))</f>
        <v/>
      </c>
      <c r="P18" s="47">
        <f>IF(O18&gt;0.5,1,0)</f>
        <v/>
      </c>
      <c r="Q18" s="47">
        <f>O18-G18</f>
        <v/>
      </c>
      <c r="R18" s="48">
        <f>Q18^2</f>
        <v/>
      </c>
      <c r="S18">
        <f>IF(P18=G18,1,0)</f>
        <v/>
      </c>
      <c r="T18">
        <f>2*(O18-G18)*(1-O18)*O18</f>
        <v/>
      </c>
      <c r="U18">
        <f>2*(O18-G18)*(1-O18)*O18*C18</f>
        <v/>
      </c>
      <c r="V18">
        <f>2*(O18-G18)*(1-O18)*O18*D18</f>
        <v/>
      </c>
      <c r="W18">
        <f>2*(O18-G18)*(1-O18)*O18*E18</f>
        <v/>
      </c>
      <c r="X18">
        <f>2*(O18-G18)*(1-O18)*O18*F18</f>
        <v/>
      </c>
    </row>
    <row r="19" ht="14.25" customHeight="1" s="96">
      <c r="A19" s="114" t="n"/>
      <c r="B19" s="33" t="n">
        <v>15</v>
      </c>
      <c r="C19" s="4" t="n">
        <v>5.8</v>
      </c>
      <c r="D19" s="7" t="n">
        <v>4</v>
      </c>
      <c r="E19" s="7" t="n">
        <v>1.2</v>
      </c>
      <c r="F19" s="7" t="n">
        <v>0.2</v>
      </c>
      <c r="G19" s="45" t="n">
        <v>0</v>
      </c>
      <c r="I19" s="44">
        <f>I18-$K$2*T18</f>
        <v/>
      </c>
      <c r="J19" s="46">
        <f>J18-$K$2*U18</f>
        <v/>
      </c>
      <c r="K19" s="46">
        <f>K18-$K$2*V18</f>
        <v/>
      </c>
      <c r="L19" s="46">
        <f>L18-$K$2*W18</f>
        <v/>
      </c>
      <c r="M19" s="46">
        <f>M18-$K$2*X18</f>
        <v/>
      </c>
      <c r="N19" s="46">
        <f>I19+J19*C19+K19*D19+L19*E19+F19*M19</f>
        <v/>
      </c>
      <c r="O19" s="46">
        <f>1/(1+EXP(-N19))</f>
        <v/>
      </c>
      <c r="P19" s="47">
        <f>IF(O19&gt;0.5,1,0)</f>
        <v/>
      </c>
      <c r="Q19" s="47">
        <f>O19-G19</f>
        <v/>
      </c>
      <c r="R19" s="48">
        <f>Q19^2</f>
        <v/>
      </c>
      <c r="S19">
        <f>IF(P19=G19,1,0)</f>
        <v/>
      </c>
      <c r="T19">
        <f>2*(O19-G19)*(1-O19)*O19</f>
        <v/>
      </c>
      <c r="U19">
        <f>2*(O19-G19)*(1-O19)*O19*C19</f>
        <v/>
      </c>
      <c r="V19">
        <f>2*(O19-G19)*(1-O19)*O19*D19</f>
        <v/>
      </c>
      <c r="W19">
        <f>2*(O19-G19)*(1-O19)*O19*E19</f>
        <v/>
      </c>
      <c r="X19">
        <f>2*(O19-G19)*(1-O19)*O19*F19</f>
        <v/>
      </c>
    </row>
    <row r="20" ht="14.25" customHeight="1" s="96">
      <c r="A20" s="114" t="n"/>
      <c r="B20" s="44" t="n">
        <v>16</v>
      </c>
      <c r="C20" s="4" t="n">
        <v>5.7</v>
      </c>
      <c r="D20" s="7" t="n">
        <v>4.4</v>
      </c>
      <c r="E20" s="7" t="n">
        <v>1.5</v>
      </c>
      <c r="F20" s="7" t="n">
        <v>0.4</v>
      </c>
      <c r="G20" s="45" t="n">
        <v>0</v>
      </c>
      <c r="I20" s="44">
        <f>I19-$K$2*T19</f>
        <v/>
      </c>
      <c r="J20" s="46">
        <f>J19-$K$2*U19</f>
        <v/>
      </c>
      <c r="K20" s="46">
        <f>K19-$K$2*V19</f>
        <v/>
      </c>
      <c r="L20" s="46">
        <f>L19-$K$2*W19</f>
        <v/>
      </c>
      <c r="M20" s="46">
        <f>M19-$K$2*X19</f>
        <v/>
      </c>
      <c r="N20" s="46">
        <f>I20+J20*C20+K20*D20+L20*E20+F20*M20</f>
        <v/>
      </c>
      <c r="O20" s="46">
        <f>1/(1+EXP(-N20))</f>
        <v/>
      </c>
      <c r="P20" s="47">
        <f>IF(O20&gt;0.5,1,0)</f>
        <v/>
      </c>
      <c r="Q20" s="47">
        <f>O20-G20</f>
        <v/>
      </c>
      <c r="R20" s="48">
        <f>Q20^2</f>
        <v/>
      </c>
      <c r="S20">
        <f>IF(P20=G20,1,0)</f>
        <v/>
      </c>
      <c r="T20">
        <f>2*(O20-G20)*(1-O20)*O20</f>
        <v/>
      </c>
      <c r="U20">
        <f>2*(O20-G20)*(1-O20)*O20*C20</f>
        <v/>
      </c>
      <c r="V20">
        <f>2*(O20-G20)*(1-O20)*O20*D20</f>
        <v/>
      </c>
      <c r="W20">
        <f>2*(O20-G20)*(1-O20)*O20*E20</f>
        <v/>
      </c>
      <c r="X20">
        <f>2*(O20-G20)*(1-O20)*O20*F20</f>
        <v/>
      </c>
    </row>
    <row r="21" ht="14.25" customHeight="1" s="96">
      <c r="A21" s="114" t="n"/>
      <c r="B21" s="33" t="n">
        <v>17</v>
      </c>
      <c r="C21" s="4" t="n">
        <v>5.4</v>
      </c>
      <c r="D21" s="7" t="n">
        <v>3.9</v>
      </c>
      <c r="E21" s="7" t="n">
        <v>1.3</v>
      </c>
      <c r="F21" s="7" t="n">
        <v>0.4</v>
      </c>
      <c r="G21" s="45" t="n">
        <v>0</v>
      </c>
      <c r="I21" s="44">
        <f>I20-$K$2*T20</f>
        <v/>
      </c>
      <c r="J21" s="46">
        <f>J20-$K$2*U20</f>
        <v/>
      </c>
      <c r="K21" s="46">
        <f>K20-$K$2*V20</f>
        <v/>
      </c>
      <c r="L21" s="46">
        <f>L20-$K$2*W20</f>
        <v/>
      </c>
      <c r="M21" s="46">
        <f>M20-$K$2*X20</f>
        <v/>
      </c>
      <c r="N21" s="46">
        <f>I21+J21*C21+K21*D21+L21*E21+F21*M21</f>
        <v/>
      </c>
      <c r="O21" s="46">
        <f>1/(1+EXP(-N21))</f>
        <v/>
      </c>
      <c r="P21" s="47">
        <f>IF(O21&gt;0.5,1,0)</f>
        <v/>
      </c>
      <c r="Q21" s="47">
        <f>O21-G21</f>
        <v/>
      </c>
      <c r="R21" s="48">
        <f>Q21^2</f>
        <v/>
      </c>
      <c r="S21">
        <f>IF(P21=G21,1,0)</f>
        <v/>
      </c>
      <c r="T21">
        <f>2*(O21-G21)*(1-O21)*O21</f>
        <v/>
      </c>
      <c r="U21">
        <f>2*(O21-G21)*(1-O21)*O21*C21</f>
        <v/>
      </c>
      <c r="V21">
        <f>2*(O21-G21)*(1-O21)*O21*D21</f>
        <v/>
      </c>
      <c r="W21">
        <f>2*(O21-G21)*(1-O21)*O21*E21</f>
        <v/>
      </c>
      <c r="X21">
        <f>2*(O21-G21)*(1-O21)*O21*F21</f>
        <v/>
      </c>
    </row>
    <row r="22" ht="14.25" customHeight="1" s="96">
      <c r="A22" s="114" t="n"/>
      <c r="B22" s="44" t="n">
        <v>18</v>
      </c>
      <c r="C22" s="4" t="n">
        <v>5.1</v>
      </c>
      <c r="D22" s="7" t="n">
        <v>3.5</v>
      </c>
      <c r="E22" s="7" t="n">
        <v>1.4</v>
      </c>
      <c r="F22" s="7" t="n">
        <v>0.3</v>
      </c>
      <c r="G22" s="45" t="n">
        <v>0</v>
      </c>
      <c r="I22" s="44">
        <f>I21-$K$2*T21</f>
        <v/>
      </c>
      <c r="J22" s="46">
        <f>J21-$K$2*U21</f>
        <v/>
      </c>
      <c r="K22" s="46">
        <f>K21-$K$2*V21</f>
        <v/>
      </c>
      <c r="L22" s="46">
        <f>L21-$K$2*W21</f>
        <v/>
      </c>
      <c r="M22" s="46">
        <f>M21-$K$2*X21</f>
        <v/>
      </c>
      <c r="N22" s="46">
        <f>I22+J22*C22+K22*D22+L22*E22+F22*M22</f>
        <v/>
      </c>
      <c r="O22" s="46">
        <f>1/(1+EXP(-N22))</f>
        <v/>
      </c>
      <c r="P22" s="47">
        <f>IF(O22&gt;0.5,1,0)</f>
        <v/>
      </c>
      <c r="Q22" s="47">
        <f>O22-G22</f>
        <v/>
      </c>
      <c r="R22" s="48">
        <f>Q22^2</f>
        <v/>
      </c>
      <c r="S22">
        <f>IF(P22=G22,1,0)</f>
        <v/>
      </c>
      <c r="T22">
        <f>2*(O22-G22)*(1-O22)*O22</f>
        <v/>
      </c>
      <c r="U22">
        <f>2*(O22-G22)*(1-O22)*O22*C22</f>
        <v/>
      </c>
      <c r="V22">
        <f>2*(O22-G22)*(1-O22)*O22*D22</f>
        <v/>
      </c>
      <c r="W22">
        <f>2*(O22-G22)*(1-O22)*O22*E22</f>
        <v/>
      </c>
      <c r="X22">
        <f>2*(O22-G22)*(1-O22)*O22*F22</f>
        <v/>
      </c>
    </row>
    <row r="23" ht="14.25" customHeight="1" s="96">
      <c r="A23" s="114" t="n"/>
      <c r="B23" s="33" t="n">
        <v>19</v>
      </c>
      <c r="C23" s="4" t="n">
        <v>5.7</v>
      </c>
      <c r="D23" s="7" t="n">
        <v>3.8</v>
      </c>
      <c r="E23" s="7" t="n">
        <v>1.7</v>
      </c>
      <c r="F23" s="7" t="n">
        <v>0.3</v>
      </c>
      <c r="G23" s="45" t="n">
        <v>0</v>
      </c>
      <c r="I23" s="44">
        <f>I22-$K$2*T22</f>
        <v/>
      </c>
      <c r="J23" s="46">
        <f>J22-$K$2*U22</f>
        <v/>
      </c>
      <c r="K23" s="46">
        <f>K22-$K$2*V22</f>
        <v/>
      </c>
      <c r="L23" s="46">
        <f>L22-$K$2*W22</f>
        <v/>
      </c>
      <c r="M23" s="46">
        <f>M22-$K$2*X22</f>
        <v/>
      </c>
      <c r="N23" s="46">
        <f>I23+J23*C23+K23*D23+L23*E23+F23*M23</f>
        <v/>
      </c>
      <c r="O23" s="46">
        <f>1/(1+EXP(-N23))</f>
        <v/>
      </c>
      <c r="P23" s="47">
        <f>IF(O23&gt;0.5,1,0)</f>
        <v/>
      </c>
      <c r="Q23" s="47">
        <f>O23-G23</f>
        <v/>
      </c>
      <c r="R23" s="48">
        <f>Q23^2</f>
        <v/>
      </c>
      <c r="S23">
        <f>IF(P23=G23,1,0)</f>
        <v/>
      </c>
      <c r="T23">
        <f>2*(O23-G23)*(1-O23)*O23</f>
        <v/>
      </c>
      <c r="U23">
        <f>2*(O23-G23)*(1-O23)*O23*C23</f>
        <v/>
      </c>
      <c r="V23">
        <f>2*(O23-G23)*(1-O23)*O23*D23</f>
        <v/>
      </c>
      <c r="W23">
        <f>2*(O23-G23)*(1-O23)*O23*E23</f>
        <v/>
      </c>
      <c r="X23">
        <f>2*(O23-G23)*(1-O23)*O23*F23</f>
        <v/>
      </c>
    </row>
    <row r="24" ht="14.25" customHeight="1" s="96">
      <c r="A24" s="114" t="n"/>
      <c r="B24" s="44" t="n">
        <v>20</v>
      </c>
      <c r="C24" s="4" t="n">
        <v>5.1</v>
      </c>
      <c r="D24" s="7" t="n">
        <v>3.8</v>
      </c>
      <c r="E24" s="7" t="n">
        <v>1.5</v>
      </c>
      <c r="F24" s="7" t="n">
        <v>0.3</v>
      </c>
      <c r="G24" s="45" t="n">
        <v>0</v>
      </c>
      <c r="I24" s="44">
        <f>I23-$K$2*T23</f>
        <v/>
      </c>
      <c r="J24" s="46">
        <f>J23-$K$2*U23</f>
        <v/>
      </c>
      <c r="K24" s="46">
        <f>K23-$K$2*V23</f>
        <v/>
      </c>
      <c r="L24" s="46">
        <f>L23-$K$2*W23</f>
        <v/>
      </c>
      <c r="M24" s="46">
        <f>M23-$K$2*X23</f>
        <v/>
      </c>
      <c r="N24" s="46">
        <f>I24+J24*C24+K24*D24+L24*E24+F24*M24</f>
        <v/>
      </c>
      <c r="O24" s="46">
        <f>1/(1+EXP(-N24))</f>
        <v/>
      </c>
      <c r="P24" s="47">
        <f>IF(O24&gt;0.5,1,0)</f>
        <v/>
      </c>
      <c r="Q24" s="47">
        <f>O24-G24</f>
        <v/>
      </c>
      <c r="R24" s="48">
        <f>Q24^2</f>
        <v/>
      </c>
      <c r="S24">
        <f>IF(P24=G24,1,0)</f>
        <v/>
      </c>
      <c r="T24">
        <f>2*(O24-G24)*(1-O24)*O24</f>
        <v/>
      </c>
      <c r="U24">
        <f>2*(O24-G24)*(1-O24)*O24*C24</f>
        <v/>
      </c>
      <c r="V24">
        <f>2*(O24-G24)*(1-O24)*O24*D24</f>
        <v/>
      </c>
      <c r="W24">
        <f>2*(O24-G24)*(1-O24)*O24*E24</f>
        <v/>
      </c>
      <c r="X24">
        <f>2*(O24-G24)*(1-O24)*O24*F24</f>
        <v/>
      </c>
    </row>
    <row r="25" ht="14.25" customHeight="1" s="96">
      <c r="A25" s="114" t="n"/>
      <c r="B25" s="33" t="n">
        <v>21</v>
      </c>
      <c r="C25" s="4" t="n">
        <v>5.4</v>
      </c>
      <c r="D25" s="7" t="n">
        <v>3.4</v>
      </c>
      <c r="E25" s="7" t="n">
        <v>1.7</v>
      </c>
      <c r="F25" s="7" t="n">
        <v>0.2</v>
      </c>
      <c r="G25" s="45" t="n">
        <v>0</v>
      </c>
      <c r="I25" s="44">
        <f>I24-$K$2*T24</f>
        <v/>
      </c>
      <c r="J25" s="46">
        <f>J24-$K$2*U24</f>
        <v/>
      </c>
      <c r="K25" s="46">
        <f>K24-$K$2*V24</f>
        <v/>
      </c>
      <c r="L25" s="46">
        <f>L24-$K$2*W24</f>
        <v/>
      </c>
      <c r="M25" s="46">
        <f>M24-$K$2*X24</f>
        <v/>
      </c>
      <c r="N25" s="46">
        <f>I25+J25*C25+K25*D25+L25*E25+F25*M25</f>
        <v/>
      </c>
      <c r="O25" s="46">
        <f>1/(1+EXP(-N25))</f>
        <v/>
      </c>
      <c r="P25" s="47">
        <f>IF(O25&gt;0.5,1,0)</f>
        <v/>
      </c>
      <c r="Q25" s="47">
        <f>O25-G25</f>
        <v/>
      </c>
      <c r="R25" s="48">
        <f>Q25^2</f>
        <v/>
      </c>
      <c r="S25">
        <f>IF(P25=G25,1,0)</f>
        <v/>
      </c>
      <c r="T25">
        <f>2*(O25-G25)*(1-O25)*O25</f>
        <v/>
      </c>
      <c r="U25">
        <f>2*(O25-G25)*(1-O25)*O25*C25</f>
        <v/>
      </c>
      <c r="V25">
        <f>2*(O25-G25)*(1-O25)*O25*D25</f>
        <v/>
      </c>
      <c r="W25">
        <f>2*(O25-G25)*(1-O25)*O25*E25</f>
        <v/>
      </c>
      <c r="X25">
        <f>2*(O25-G25)*(1-O25)*O25*F25</f>
        <v/>
      </c>
    </row>
    <row r="26" ht="14.25" customHeight="1" s="96">
      <c r="A26" s="114" t="n"/>
      <c r="B26" s="44" t="n">
        <v>22</v>
      </c>
      <c r="C26" s="4" t="n">
        <v>5.1</v>
      </c>
      <c r="D26" s="7" t="n">
        <v>3.7</v>
      </c>
      <c r="E26" s="7" t="n">
        <v>1.5</v>
      </c>
      <c r="F26" s="7" t="n">
        <v>0.4</v>
      </c>
      <c r="G26" s="45" t="n">
        <v>0</v>
      </c>
      <c r="I26" s="44">
        <f>I25-$K$2*T25</f>
        <v/>
      </c>
      <c r="J26" s="46">
        <f>J25-$K$2*U25</f>
        <v/>
      </c>
      <c r="K26" s="46">
        <f>K25-$K$2*V25</f>
        <v/>
      </c>
      <c r="L26" s="46">
        <f>L25-$K$2*W25</f>
        <v/>
      </c>
      <c r="M26" s="46">
        <f>M25-$K$2*X25</f>
        <v/>
      </c>
      <c r="N26" s="46">
        <f>I26+J26*C26+K26*D26+L26*E26+F26*M26</f>
        <v/>
      </c>
      <c r="O26" s="46">
        <f>1/(1+EXP(-N26))</f>
        <v/>
      </c>
      <c r="P26" s="47">
        <f>IF(O26&gt;0.5,1,0)</f>
        <v/>
      </c>
      <c r="Q26" s="47">
        <f>O26-G26</f>
        <v/>
      </c>
      <c r="R26" s="48">
        <f>Q26^2</f>
        <v/>
      </c>
      <c r="S26">
        <f>IF(P26=G26,1,0)</f>
        <v/>
      </c>
      <c r="T26">
        <f>2*(O26-G26)*(1-O26)*O26</f>
        <v/>
      </c>
      <c r="U26">
        <f>2*(O26-G26)*(1-O26)*O26*C26</f>
        <v/>
      </c>
      <c r="V26">
        <f>2*(O26-G26)*(1-O26)*O26*D26</f>
        <v/>
      </c>
      <c r="W26">
        <f>2*(O26-G26)*(1-O26)*O26*E26</f>
        <v/>
      </c>
      <c r="X26">
        <f>2*(O26-G26)*(1-O26)*O26*F26</f>
        <v/>
      </c>
    </row>
    <row r="27" ht="14.25" customHeight="1" s="96">
      <c r="A27" s="114" t="n"/>
      <c r="B27" s="33" t="n">
        <v>23</v>
      </c>
      <c r="C27" s="4" t="n">
        <v>4.6</v>
      </c>
      <c r="D27" s="7" t="n">
        <v>3.6</v>
      </c>
      <c r="E27" s="7" t="n">
        <v>1</v>
      </c>
      <c r="F27" s="7" t="n">
        <v>0.2</v>
      </c>
      <c r="G27" s="45" t="n">
        <v>0</v>
      </c>
      <c r="I27" s="44">
        <f>I26-$K$2*T26</f>
        <v/>
      </c>
      <c r="J27" s="46">
        <f>J26-$K$2*U26</f>
        <v/>
      </c>
      <c r="K27" s="46">
        <f>K26-$K$2*V26</f>
        <v/>
      </c>
      <c r="L27" s="46">
        <f>L26-$K$2*W26</f>
        <v/>
      </c>
      <c r="M27" s="46">
        <f>M26-$K$2*X26</f>
        <v/>
      </c>
      <c r="N27" s="46">
        <f>I27+J27*C27+K27*D27+L27*E27+F27*M27</f>
        <v/>
      </c>
      <c r="O27" s="46">
        <f>1/(1+EXP(-N27))</f>
        <v/>
      </c>
      <c r="P27" s="47">
        <f>IF(O27&gt;0.5,1,0)</f>
        <v/>
      </c>
      <c r="Q27" s="47">
        <f>O27-G27</f>
        <v/>
      </c>
      <c r="R27" s="48">
        <f>Q27^2</f>
        <v/>
      </c>
      <c r="S27">
        <f>IF(P27=G27,1,0)</f>
        <v/>
      </c>
      <c r="T27">
        <f>2*(O27-G27)*(1-O27)*O27</f>
        <v/>
      </c>
      <c r="U27">
        <f>2*(O27-G27)*(1-O27)*O27*C27</f>
        <v/>
      </c>
      <c r="V27">
        <f>2*(O27-G27)*(1-O27)*O27*D27</f>
        <v/>
      </c>
      <c r="W27">
        <f>2*(O27-G27)*(1-O27)*O27*E27</f>
        <v/>
      </c>
      <c r="X27">
        <f>2*(O27-G27)*(1-O27)*O27*F27</f>
        <v/>
      </c>
    </row>
    <row r="28" ht="14.25" customHeight="1" s="96">
      <c r="A28" s="114" t="n"/>
      <c r="B28" s="44" t="n">
        <v>24</v>
      </c>
      <c r="C28" s="4" t="n">
        <v>5.1</v>
      </c>
      <c r="D28" s="7" t="n">
        <v>3.3</v>
      </c>
      <c r="E28" s="7" t="n">
        <v>1.7</v>
      </c>
      <c r="F28" s="7" t="n">
        <v>0.5</v>
      </c>
      <c r="G28" s="45" t="n">
        <v>0</v>
      </c>
      <c r="I28" s="44">
        <f>I27-$K$2*T27</f>
        <v/>
      </c>
      <c r="J28" s="46">
        <f>J27-$K$2*U27</f>
        <v/>
      </c>
      <c r="K28" s="46">
        <f>K27-$K$2*V27</f>
        <v/>
      </c>
      <c r="L28" s="46">
        <f>L27-$K$2*W27</f>
        <v/>
      </c>
      <c r="M28" s="46">
        <f>M27-$K$2*X27</f>
        <v/>
      </c>
      <c r="N28" s="46">
        <f>I28+J28*C28+K28*D28+L28*E28+F28*M28</f>
        <v/>
      </c>
      <c r="O28" s="46">
        <f>1/(1+EXP(-N28))</f>
        <v/>
      </c>
      <c r="P28" s="47">
        <f>IF(O28&gt;0.5,1,0)</f>
        <v/>
      </c>
      <c r="Q28" s="47">
        <f>O28-G28</f>
        <v/>
      </c>
      <c r="R28" s="48">
        <f>Q28^2</f>
        <v/>
      </c>
      <c r="S28">
        <f>IF(P28=G28,1,0)</f>
        <v/>
      </c>
      <c r="T28">
        <f>2*(O28-G28)*(1-O28)*O28</f>
        <v/>
      </c>
      <c r="U28">
        <f>2*(O28-G28)*(1-O28)*O28*C28</f>
        <v/>
      </c>
      <c r="V28">
        <f>2*(O28-G28)*(1-O28)*O28*D28</f>
        <v/>
      </c>
      <c r="W28">
        <f>2*(O28-G28)*(1-O28)*O28*E28</f>
        <v/>
      </c>
      <c r="X28">
        <f>2*(O28-G28)*(1-O28)*O28*F28</f>
        <v/>
      </c>
    </row>
    <row r="29" ht="14.25" customHeight="1" s="96">
      <c r="A29" s="114" t="n"/>
      <c r="B29" s="33" t="n">
        <v>25</v>
      </c>
      <c r="C29" s="4" t="n">
        <v>4.8</v>
      </c>
      <c r="D29" s="7" t="n">
        <v>3.4</v>
      </c>
      <c r="E29" s="7" t="n">
        <v>1.9</v>
      </c>
      <c r="F29" s="7" t="n">
        <v>0.2</v>
      </c>
      <c r="G29" s="45" t="n">
        <v>0</v>
      </c>
      <c r="I29" s="44">
        <f>I28-$K$2*T28</f>
        <v/>
      </c>
      <c r="J29" s="46">
        <f>J28-$K$2*U28</f>
        <v/>
      </c>
      <c r="K29" s="46">
        <f>K28-$K$2*V28</f>
        <v/>
      </c>
      <c r="L29" s="46">
        <f>L28-$K$2*W28</f>
        <v/>
      </c>
      <c r="M29" s="46">
        <f>M28-$K$2*X28</f>
        <v/>
      </c>
      <c r="N29" s="46">
        <f>I29+J29*C29+K29*D29+L29*E29+F29*M29</f>
        <v/>
      </c>
      <c r="O29" s="46">
        <f>1/(1+EXP(-N29))</f>
        <v/>
      </c>
      <c r="P29" s="47">
        <f>IF(O29&gt;0.5,1,0)</f>
        <v/>
      </c>
      <c r="Q29" s="47">
        <f>O29-G29</f>
        <v/>
      </c>
      <c r="R29" s="48">
        <f>Q29^2</f>
        <v/>
      </c>
      <c r="S29">
        <f>IF(P29=G29,1,0)</f>
        <v/>
      </c>
      <c r="T29">
        <f>2*(O29-G29)*(1-O29)*O29</f>
        <v/>
      </c>
      <c r="U29">
        <f>2*(O29-G29)*(1-O29)*O29*C29</f>
        <v/>
      </c>
      <c r="V29">
        <f>2*(O29-G29)*(1-O29)*O29*D29</f>
        <v/>
      </c>
      <c r="W29">
        <f>2*(O29-G29)*(1-O29)*O29*E29</f>
        <v/>
      </c>
      <c r="X29">
        <f>2*(O29-G29)*(1-O29)*O29*F29</f>
        <v/>
      </c>
    </row>
    <row r="30" ht="14.25" customHeight="1" s="96">
      <c r="A30" s="114" t="n"/>
      <c r="B30" s="44" t="n">
        <v>26</v>
      </c>
      <c r="C30" s="4" t="n">
        <v>5</v>
      </c>
      <c r="D30" s="7" t="n">
        <v>3</v>
      </c>
      <c r="E30" s="7" t="n">
        <v>1.6</v>
      </c>
      <c r="F30" s="7" t="n">
        <v>0.2</v>
      </c>
      <c r="G30" s="45" t="n">
        <v>0</v>
      </c>
      <c r="I30" s="44">
        <f>I29-$K$2*T29</f>
        <v/>
      </c>
      <c r="J30" s="46">
        <f>J29-$K$2*U29</f>
        <v/>
      </c>
      <c r="K30" s="46">
        <f>K29-$K$2*V29</f>
        <v/>
      </c>
      <c r="L30" s="46">
        <f>L29-$K$2*W29</f>
        <v/>
      </c>
      <c r="M30" s="46">
        <f>M29-$K$2*X29</f>
        <v/>
      </c>
      <c r="N30" s="46">
        <f>I30+J30*C30+K30*D30+L30*E30+F30*M30</f>
        <v/>
      </c>
      <c r="O30" s="46">
        <f>1/(1+EXP(-N30))</f>
        <v/>
      </c>
      <c r="P30" s="47">
        <f>IF(O30&gt;0.5,1,0)</f>
        <v/>
      </c>
      <c r="Q30" s="47">
        <f>O30-G30</f>
        <v/>
      </c>
      <c r="R30" s="48">
        <f>Q30^2</f>
        <v/>
      </c>
      <c r="S30">
        <f>IF(P30=G30,1,0)</f>
        <v/>
      </c>
      <c r="T30">
        <f>2*(O30-G30)*(1-O30)*O30</f>
        <v/>
      </c>
      <c r="U30">
        <f>2*(O30-G30)*(1-O30)*O30*C30</f>
        <v/>
      </c>
      <c r="V30">
        <f>2*(O30-G30)*(1-O30)*O30*D30</f>
        <v/>
      </c>
      <c r="W30">
        <f>2*(O30-G30)*(1-O30)*O30*E30</f>
        <v/>
      </c>
      <c r="X30">
        <f>2*(O30-G30)*(1-O30)*O30*F30</f>
        <v/>
      </c>
    </row>
    <row r="31" ht="14.25" customHeight="1" s="96">
      <c r="A31" s="114" t="n"/>
      <c r="B31" s="33" t="n">
        <v>27</v>
      </c>
      <c r="C31" s="4" t="n">
        <v>5</v>
      </c>
      <c r="D31" s="7" t="n">
        <v>3.4</v>
      </c>
      <c r="E31" s="7" t="n">
        <v>1.6</v>
      </c>
      <c r="F31" s="7" t="n">
        <v>0.4</v>
      </c>
      <c r="G31" s="45" t="n">
        <v>0</v>
      </c>
      <c r="I31" s="44">
        <f>I30-$K$2*T30</f>
        <v/>
      </c>
      <c r="J31" s="46">
        <f>J30-$K$2*U30</f>
        <v/>
      </c>
      <c r="K31" s="46">
        <f>K30-$K$2*V30</f>
        <v/>
      </c>
      <c r="L31" s="46">
        <f>L30-$K$2*W30</f>
        <v/>
      </c>
      <c r="M31" s="46">
        <f>M30-$K$2*X30</f>
        <v/>
      </c>
      <c r="N31" s="46">
        <f>I31+J31*C31+K31*D31+L31*E31+F31*M31</f>
        <v/>
      </c>
      <c r="O31" s="46">
        <f>1/(1+EXP(-N31))</f>
        <v/>
      </c>
      <c r="P31" s="47">
        <f>IF(O31&gt;0.5,1,0)</f>
        <v/>
      </c>
      <c r="Q31" s="47">
        <f>O31-G31</f>
        <v/>
      </c>
      <c r="R31" s="48">
        <f>Q31^2</f>
        <v/>
      </c>
      <c r="S31">
        <f>IF(P31=G31,1,0)</f>
        <v/>
      </c>
      <c r="T31">
        <f>2*(O31-G31)*(1-O31)*O31</f>
        <v/>
      </c>
      <c r="U31">
        <f>2*(O31-G31)*(1-O31)*O31*C31</f>
        <v/>
      </c>
      <c r="V31">
        <f>2*(O31-G31)*(1-O31)*O31*D31</f>
        <v/>
      </c>
      <c r="W31">
        <f>2*(O31-G31)*(1-O31)*O31*E31</f>
        <v/>
      </c>
      <c r="X31">
        <f>2*(O31-G31)*(1-O31)*O31*F31</f>
        <v/>
      </c>
    </row>
    <row r="32" ht="14.25" customHeight="1" s="96">
      <c r="A32" s="114" t="n"/>
      <c r="B32" s="44" t="n">
        <v>28</v>
      </c>
      <c r="C32" s="4" t="n">
        <v>5.2</v>
      </c>
      <c r="D32" s="7" t="n">
        <v>3.5</v>
      </c>
      <c r="E32" s="7" t="n">
        <v>1.5</v>
      </c>
      <c r="F32" s="7" t="n">
        <v>0.2</v>
      </c>
      <c r="G32" s="45" t="n">
        <v>0</v>
      </c>
      <c r="I32" s="44">
        <f>I31-$K$2*T31</f>
        <v/>
      </c>
      <c r="J32" s="46">
        <f>J31-$K$2*U31</f>
        <v/>
      </c>
      <c r="K32" s="46">
        <f>K31-$K$2*V31</f>
        <v/>
      </c>
      <c r="L32" s="46">
        <f>L31-$K$2*W31</f>
        <v/>
      </c>
      <c r="M32" s="46">
        <f>M31-$K$2*X31</f>
        <v/>
      </c>
      <c r="N32" s="46">
        <f>I32+J32*C32+K32*D32+L32*E32+F32*M32</f>
        <v/>
      </c>
      <c r="O32" s="46">
        <f>1/(1+EXP(-N32))</f>
        <v/>
      </c>
      <c r="P32" s="47">
        <f>IF(O32&gt;0.5,1,0)</f>
        <v/>
      </c>
      <c r="Q32" s="47">
        <f>O32-G32</f>
        <v/>
      </c>
      <c r="R32" s="48">
        <f>Q32^2</f>
        <v/>
      </c>
      <c r="S32">
        <f>IF(P32=G32,1,0)</f>
        <v/>
      </c>
      <c r="T32">
        <f>2*(O32-G32)*(1-O32)*O32</f>
        <v/>
      </c>
      <c r="U32">
        <f>2*(O32-G32)*(1-O32)*O32*C32</f>
        <v/>
      </c>
      <c r="V32">
        <f>2*(O32-G32)*(1-O32)*O32*D32</f>
        <v/>
      </c>
      <c r="W32">
        <f>2*(O32-G32)*(1-O32)*O32*E32</f>
        <v/>
      </c>
      <c r="X32">
        <f>2*(O32-G32)*(1-O32)*O32*F32</f>
        <v/>
      </c>
    </row>
    <row r="33" ht="14.25" customHeight="1" s="96">
      <c r="A33" s="114" t="n"/>
      <c r="B33" s="33" t="n">
        <v>29</v>
      </c>
      <c r="C33" s="4" t="n">
        <v>5.2</v>
      </c>
      <c r="D33" s="7" t="n">
        <v>3.4</v>
      </c>
      <c r="E33" s="7" t="n">
        <v>1.4</v>
      </c>
      <c r="F33" s="7" t="n">
        <v>0.2</v>
      </c>
      <c r="G33" s="45" t="n">
        <v>0</v>
      </c>
      <c r="I33" s="44">
        <f>I32-$K$2*T32</f>
        <v/>
      </c>
      <c r="J33" s="46">
        <f>J32-$K$2*U32</f>
        <v/>
      </c>
      <c r="K33" s="46">
        <f>K32-$K$2*V32</f>
        <v/>
      </c>
      <c r="L33" s="46">
        <f>L32-$K$2*W32</f>
        <v/>
      </c>
      <c r="M33" s="46">
        <f>M32-$K$2*X32</f>
        <v/>
      </c>
      <c r="N33" s="46">
        <f>I33+J33*C33+K33*D33+L33*E33+F33*M33</f>
        <v/>
      </c>
      <c r="O33" s="46">
        <f>1/(1+EXP(-N33))</f>
        <v/>
      </c>
      <c r="P33" s="47">
        <f>IF(O33&gt;0.5,1,0)</f>
        <v/>
      </c>
      <c r="Q33" s="47">
        <f>O33-G33</f>
        <v/>
      </c>
      <c r="R33" s="48">
        <f>Q33^2</f>
        <v/>
      </c>
      <c r="S33">
        <f>IF(P33=G33,1,0)</f>
        <v/>
      </c>
      <c r="T33">
        <f>2*(O33-G33)*(1-O33)*O33</f>
        <v/>
      </c>
      <c r="U33">
        <f>2*(O33-G33)*(1-O33)*O33*C33</f>
        <v/>
      </c>
      <c r="V33">
        <f>2*(O33-G33)*(1-O33)*O33*D33</f>
        <v/>
      </c>
      <c r="W33">
        <f>2*(O33-G33)*(1-O33)*O33*E33</f>
        <v/>
      </c>
      <c r="X33">
        <f>2*(O33-G33)*(1-O33)*O33*F33</f>
        <v/>
      </c>
    </row>
    <row r="34" ht="14.25" customHeight="1" s="96">
      <c r="A34" s="114" t="n"/>
      <c r="B34" s="44" t="n">
        <v>30</v>
      </c>
      <c r="C34" s="4" t="n">
        <v>4.7</v>
      </c>
      <c r="D34" s="7" t="n">
        <v>3.2</v>
      </c>
      <c r="E34" s="7" t="n">
        <v>1.6</v>
      </c>
      <c r="F34" s="7" t="n">
        <v>0.2</v>
      </c>
      <c r="G34" s="45" t="n">
        <v>0</v>
      </c>
      <c r="I34" s="44">
        <f>I33-$K$2*T33</f>
        <v/>
      </c>
      <c r="J34" s="46">
        <f>J33-$K$2*U33</f>
        <v/>
      </c>
      <c r="K34" s="46">
        <f>K33-$K$2*V33</f>
        <v/>
      </c>
      <c r="L34" s="46">
        <f>L33-$K$2*W33</f>
        <v/>
      </c>
      <c r="M34" s="46">
        <f>M33-$K$2*X33</f>
        <v/>
      </c>
      <c r="N34" s="46">
        <f>I34+J34*C34+K34*D34+L34*E34+F34*M34</f>
        <v/>
      </c>
      <c r="O34" s="46">
        <f>1/(1+EXP(-N34))</f>
        <v/>
      </c>
      <c r="P34" s="47">
        <f>IF(O34&gt;0.5,1,0)</f>
        <v/>
      </c>
      <c r="Q34" s="47">
        <f>O34-G34</f>
        <v/>
      </c>
      <c r="R34" s="48">
        <f>Q34^2</f>
        <v/>
      </c>
      <c r="S34">
        <f>IF(P34=G34,1,0)</f>
        <v/>
      </c>
      <c r="T34">
        <f>2*(O34-G34)*(1-O34)*O34</f>
        <v/>
      </c>
      <c r="U34">
        <f>2*(O34-G34)*(1-O34)*O34*C34</f>
        <v/>
      </c>
      <c r="V34">
        <f>2*(O34-G34)*(1-O34)*O34*D34</f>
        <v/>
      </c>
      <c r="W34">
        <f>2*(O34-G34)*(1-O34)*O34*E34</f>
        <v/>
      </c>
      <c r="X34">
        <f>2*(O34-G34)*(1-O34)*O34*F34</f>
        <v/>
      </c>
    </row>
    <row r="35" ht="14.25" customHeight="1" s="96">
      <c r="A35" s="114" t="n"/>
      <c r="B35" s="33" t="n">
        <v>31</v>
      </c>
      <c r="C35" s="4" t="n">
        <v>4.8</v>
      </c>
      <c r="D35" s="7" t="n">
        <v>3.1</v>
      </c>
      <c r="E35" s="7" t="n">
        <v>1.6</v>
      </c>
      <c r="F35" s="7" t="n">
        <v>0.2</v>
      </c>
      <c r="G35" s="45" t="n">
        <v>0</v>
      </c>
      <c r="I35" s="44">
        <f>I34-$K$2*T34</f>
        <v/>
      </c>
      <c r="J35" s="46">
        <f>J34-$K$2*U34</f>
        <v/>
      </c>
      <c r="K35" s="46">
        <f>K34-$K$2*V34</f>
        <v/>
      </c>
      <c r="L35" s="46">
        <f>L34-$K$2*W34</f>
        <v/>
      </c>
      <c r="M35" s="46">
        <f>M34-$K$2*X34</f>
        <v/>
      </c>
      <c r="N35" s="46">
        <f>I35+J35*C35+K35*D35+L35*E35+F35*M35</f>
        <v/>
      </c>
      <c r="O35" s="46">
        <f>1/(1+EXP(-N35))</f>
        <v/>
      </c>
      <c r="P35" s="47">
        <f>IF(O35&gt;0.5,1,0)</f>
        <v/>
      </c>
      <c r="Q35" s="47">
        <f>O35-G35</f>
        <v/>
      </c>
      <c r="R35" s="48">
        <f>Q35^2</f>
        <v/>
      </c>
      <c r="S35">
        <f>IF(P35=G35,1,0)</f>
        <v/>
      </c>
      <c r="T35">
        <f>2*(O35-G35)*(1-O35)*O35</f>
        <v/>
      </c>
      <c r="U35">
        <f>2*(O35-G35)*(1-O35)*O35*C35</f>
        <v/>
      </c>
      <c r="V35">
        <f>2*(O35-G35)*(1-O35)*O35*D35</f>
        <v/>
      </c>
      <c r="W35">
        <f>2*(O35-G35)*(1-O35)*O35*E35</f>
        <v/>
      </c>
      <c r="X35">
        <f>2*(O35-G35)*(1-O35)*O35*F35</f>
        <v/>
      </c>
    </row>
    <row r="36" ht="14.25" customHeight="1" s="96">
      <c r="A36" s="114" t="n"/>
      <c r="B36" s="44" t="n">
        <v>32</v>
      </c>
      <c r="C36" s="4" t="n">
        <v>5.4</v>
      </c>
      <c r="D36" s="7" t="n">
        <v>3.4</v>
      </c>
      <c r="E36" s="7" t="n">
        <v>1.5</v>
      </c>
      <c r="F36" s="7" t="n">
        <v>0.4</v>
      </c>
      <c r="G36" s="45" t="n">
        <v>0</v>
      </c>
      <c r="I36" s="44">
        <f>I35-$K$2*T35</f>
        <v/>
      </c>
      <c r="J36" s="46">
        <f>J35-$K$2*U35</f>
        <v/>
      </c>
      <c r="K36" s="46">
        <f>K35-$K$2*V35</f>
        <v/>
      </c>
      <c r="L36" s="46">
        <f>L35-$K$2*W35</f>
        <v/>
      </c>
      <c r="M36" s="46">
        <f>M35-$K$2*X35</f>
        <v/>
      </c>
      <c r="N36" s="46">
        <f>I36+J36*C36+K36*D36+L36*E36+F36*M36</f>
        <v/>
      </c>
      <c r="O36" s="46">
        <f>1/(1+EXP(-N36))</f>
        <v/>
      </c>
      <c r="P36" s="47">
        <f>IF(O36&gt;0.5,1,0)</f>
        <v/>
      </c>
      <c r="Q36" s="47">
        <f>O36-G36</f>
        <v/>
      </c>
      <c r="R36" s="48">
        <f>Q36^2</f>
        <v/>
      </c>
      <c r="S36">
        <f>IF(P36=G36,1,0)</f>
        <v/>
      </c>
      <c r="T36">
        <f>2*(O36-G36)*(1-O36)*O36</f>
        <v/>
      </c>
      <c r="U36">
        <f>2*(O36-G36)*(1-O36)*O36*C36</f>
        <v/>
      </c>
      <c r="V36">
        <f>2*(O36-G36)*(1-O36)*O36*D36</f>
        <v/>
      </c>
      <c r="W36">
        <f>2*(O36-G36)*(1-O36)*O36*E36</f>
        <v/>
      </c>
      <c r="X36">
        <f>2*(O36-G36)*(1-O36)*O36*F36</f>
        <v/>
      </c>
    </row>
    <row r="37" ht="14.25" customHeight="1" s="96">
      <c r="A37" s="114" t="n"/>
      <c r="B37" s="33" t="n">
        <v>33</v>
      </c>
      <c r="C37" s="4" t="n">
        <v>5.2</v>
      </c>
      <c r="D37" s="7" t="n">
        <v>4.1</v>
      </c>
      <c r="E37" s="7" t="n">
        <v>1.5</v>
      </c>
      <c r="F37" s="7" t="n">
        <v>0.1</v>
      </c>
      <c r="G37" s="45" t="n">
        <v>0</v>
      </c>
      <c r="I37" s="44">
        <f>I36-$K$2*T36</f>
        <v/>
      </c>
      <c r="J37" s="46">
        <f>J36-$K$2*U36</f>
        <v/>
      </c>
      <c r="K37" s="46">
        <f>K36-$K$2*V36</f>
        <v/>
      </c>
      <c r="L37" s="46">
        <f>L36-$K$2*W36</f>
        <v/>
      </c>
      <c r="M37" s="46">
        <f>M36-$K$2*X36</f>
        <v/>
      </c>
      <c r="N37" s="46">
        <f>I37+J37*C37+K37*D37+L37*E37+F37*M37</f>
        <v/>
      </c>
      <c r="O37" s="46">
        <f>1/(1+EXP(-N37))</f>
        <v/>
      </c>
      <c r="P37" s="47">
        <f>IF(O37&gt;0.5,1,0)</f>
        <v/>
      </c>
      <c r="Q37" s="47">
        <f>O37-G37</f>
        <v/>
      </c>
      <c r="R37" s="48">
        <f>Q37^2</f>
        <v/>
      </c>
      <c r="S37">
        <f>IF(P37=G37,1,0)</f>
        <v/>
      </c>
      <c r="T37">
        <f>2*(O37-G37)*(1-O37)*O37</f>
        <v/>
      </c>
      <c r="U37">
        <f>2*(O37-G37)*(1-O37)*O37*C37</f>
        <v/>
      </c>
      <c r="V37">
        <f>2*(O37-G37)*(1-O37)*O37*D37</f>
        <v/>
      </c>
      <c r="W37">
        <f>2*(O37-G37)*(1-O37)*O37*E37</f>
        <v/>
      </c>
      <c r="X37">
        <f>2*(O37-G37)*(1-O37)*O37*F37</f>
        <v/>
      </c>
    </row>
    <row r="38" ht="14.25" customHeight="1" s="96">
      <c r="A38" s="114" t="n"/>
      <c r="B38" s="44" t="n">
        <v>34</v>
      </c>
      <c r="C38" s="4" t="n">
        <v>5.5</v>
      </c>
      <c r="D38" s="7" t="n">
        <v>4.2</v>
      </c>
      <c r="E38" s="7" t="n">
        <v>1.4</v>
      </c>
      <c r="F38" s="7" t="n">
        <v>0.2</v>
      </c>
      <c r="G38" s="45" t="n">
        <v>0</v>
      </c>
      <c r="I38" s="44">
        <f>I37-$K$2*T37</f>
        <v/>
      </c>
      <c r="J38" s="46">
        <f>J37-$K$2*U37</f>
        <v/>
      </c>
      <c r="K38" s="46">
        <f>K37-$K$2*V37</f>
        <v/>
      </c>
      <c r="L38" s="46">
        <f>L37-$K$2*W37</f>
        <v/>
      </c>
      <c r="M38" s="46">
        <f>M37-$K$2*X37</f>
        <v/>
      </c>
      <c r="N38" s="46">
        <f>I38+J38*C38+K38*D38+L38*E38+F38*M38</f>
        <v/>
      </c>
      <c r="O38" s="46">
        <f>1/(1+EXP(-N38))</f>
        <v/>
      </c>
      <c r="P38" s="47">
        <f>IF(O38&gt;0.5,1,0)</f>
        <v/>
      </c>
      <c r="Q38" s="47">
        <f>O38-G38</f>
        <v/>
      </c>
      <c r="R38" s="48">
        <f>Q38^2</f>
        <v/>
      </c>
      <c r="S38">
        <f>IF(P38=G38,1,0)</f>
        <v/>
      </c>
      <c r="T38">
        <f>2*(O38-G38)*(1-O38)*O38</f>
        <v/>
      </c>
      <c r="U38">
        <f>2*(O38-G38)*(1-O38)*O38*C38</f>
        <v/>
      </c>
      <c r="V38">
        <f>2*(O38-G38)*(1-O38)*O38*D38</f>
        <v/>
      </c>
      <c r="W38">
        <f>2*(O38-G38)*(1-O38)*O38*E38</f>
        <v/>
      </c>
      <c r="X38">
        <f>2*(O38-G38)*(1-O38)*O38*F38</f>
        <v/>
      </c>
    </row>
    <row r="39" ht="14.25" customHeight="1" s="96">
      <c r="A39" s="114" t="n"/>
      <c r="B39" s="33" t="n">
        <v>35</v>
      </c>
      <c r="C39" s="4" t="n">
        <v>4.9</v>
      </c>
      <c r="D39" s="7" t="n">
        <v>3.1</v>
      </c>
      <c r="E39" s="7" t="n">
        <v>1.5</v>
      </c>
      <c r="F39" s="7" t="n">
        <v>0.1</v>
      </c>
      <c r="G39" s="45" t="n">
        <v>0</v>
      </c>
      <c r="I39" s="44">
        <f>I38-$K$2*T38</f>
        <v/>
      </c>
      <c r="J39" s="46">
        <f>J38-$K$2*U38</f>
        <v/>
      </c>
      <c r="K39" s="46">
        <f>K38-$K$2*V38</f>
        <v/>
      </c>
      <c r="L39" s="46">
        <f>L38-$K$2*W38</f>
        <v/>
      </c>
      <c r="M39" s="46">
        <f>M38-$K$2*X38</f>
        <v/>
      </c>
      <c r="N39" s="46">
        <f>I39+J39*C39+K39*D39+L39*E39+F39*M39</f>
        <v/>
      </c>
      <c r="O39" s="46">
        <f>1/(1+EXP(-N39))</f>
        <v/>
      </c>
      <c r="P39" s="47">
        <f>IF(O39&gt;0.5,1,0)</f>
        <v/>
      </c>
      <c r="Q39" s="47">
        <f>O39-G39</f>
        <v/>
      </c>
      <c r="R39" s="48">
        <f>Q39^2</f>
        <v/>
      </c>
      <c r="S39">
        <f>IF(P39=G39,1,0)</f>
        <v/>
      </c>
      <c r="T39">
        <f>2*(O39-G39)*(1-O39)*O39</f>
        <v/>
      </c>
      <c r="U39">
        <f>2*(O39-G39)*(1-O39)*O39*C39</f>
        <v/>
      </c>
      <c r="V39">
        <f>2*(O39-G39)*(1-O39)*O39*D39</f>
        <v/>
      </c>
      <c r="W39">
        <f>2*(O39-G39)*(1-O39)*O39*E39</f>
        <v/>
      </c>
      <c r="X39">
        <f>2*(O39-G39)*(1-O39)*O39*F39</f>
        <v/>
      </c>
    </row>
    <row r="40" ht="14.25" customHeight="1" s="96">
      <c r="A40" s="114" t="n"/>
      <c r="B40" s="44" t="n">
        <v>36</v>
      </c>
      <c r="C40" s="4" t="n">
        <v>5</v>
      </c>
      <c r="D40" s="7" t="n">
        <v>3.2</v>
      </c>
      <c r="E40" s="7" t="n">
        <v>1.2</v>
      </c>
      <c r="F40" s="7" t="n">
        <v>0.2</v>
      </c>
      <c r="G40" s="45" t="n">
        <v>0</v>
      </c>
      <c r="I40" s="44">
        <f>I39-$K$2*T39</f>
        <v/>
      </c>
      <c r="J40" s="46">
        <f>J39-$K$2*U39</f>
        <v/>
      </c>
      <c r="K40" s="46">
        <f>K39-$K$2*V39</f>
        <v/>
      </c>
      <c r="L40" s="46">
        <f>L39-$K$2*W39</f>
        <v/>
      </c>
      <c r="M40" s="46">
        <f>M39-$K$2*X39</f>
        <v/>
      </c>
      <c r="N40" s="46">
        <f>I40+J40*C40+K40*D40+L40*E40+F40*M40</f>
        <v/>
      </c>
      <c r="O40" s="46">
        <f>1/(1+EXP(-N40))</f>
        <v/>
      </c>
      <c r="P40" s="47">
        <f>IF(O40&gt;0.5,1,0)</f>
        <v/>
      </c>
      <c r="Q40" s="47">
        <f>O40-G40</f>
        <v/>
      </c>
      <c r="R40" s="48">
        <f>Q40^2</f>
        <v/>
      </c>
      <c r="S40">
        <f>IF(P40=G40,1,0)</f>
        <v/>
      </c>
      <c r="T40">
        <f>2*(O40-G40)*(1-O40)*O40</f>
        <v/>
      </c>
      <c r="U40">
        <f>2*(O40-G40)*(1-O40)*O40*C40</f>
        <v/>
      </c>
      <c r="V40">
        <f>2*(O40-G40)*(1-O40)*O40*D40</f>
        <v/>
      </c>
      <c r="W40">
        <f>2*(O40-G40)*(1-O40)*O40*E40</f>
        <v/>
      </c>
      <c r="X40">
        <f>2*(O40-G40)*(1-O40)*O40*F40</f>
        <v/>
      </c>
    </row>
    <row r="41" ht="14.25" customHeight="1" s="96">
      <c r="A41" s="114" t="n"/>
      <c r="B41" s="33" t="n">
        <v>37</v>
      </c>
      <c r="C41" s="4" t="n">
        <v>5.5</v>
      </c>
      <c r="D41" s="7" t="n">
        <v>3.5</v>
      </c>
      <c r="E41" s="7" t="n">
        <v>1.3</v>
      </c>
      <c r="F41" s="7" t="n">
        <v>0.2</v>
      </c>
      <c r="G41" s="45" t="n">
        <v>0</v>
      </c>
      <c r="I41" s="44">
        <f>I40-$K$2*T40</f>
        <v/>
      </c>
      <c r="J41" s="46">
        <f>J40-$K$2*U40</f>
        <v/>
      </c>
      <c r="K41" s="46">
        <f>K40-$K$2*V40</f>
        <v/>
      </c>
      <c r="L41" s="46">
        <f>L40-$K$2*W40</f>
        <v/>
      </c>
      <c r="M41" s="46">
        <f>M40-$K$2*X40</f>
        <v/>
      </c>
      <c r="N41" s="46">
        <f>I41+J41*C41+K41*D41+L41*E41+F41*M41</f>
        <v/>
      </c>
      <c r="O41" s="46">
        <f>1/(1+EXP(-N41))</f>
        <v/>
      </c>
      <c r="P41" s="47">
        <f>IF(O41&gt;0.5,1,0)</f>
        <v/>
      </c>
      <c r="Q41" s="47">
        <f>O41-G41</f>
        <v/>
      </c>
      <c r="R41" s="48">
        <f>Q41^2</f>
        <v/>
      </c>
      <c r="S41">
        <f>IF(P41=G41,1,0)</f>
        <v/>
      </c>
      <c r="T41">
        <f>2*(O41-G41)*(1-O41)*O41</f>
        <v/>
      </c>
      <c r="U41">
        <f>2*(O41-G41)*(1-O41)*O41*C41</f>
        <v/>
      </c>
      <c r="V41">
        <f>2*(O41-G41)*(1-O41)*O41*D41</f>
        <v/>
      </c>
      <c r="W41">
        <f>2*(O41-G41)*(1-O41)*O41*E41</f>
        <v/>
      </c>
      <c r="X41">
        <f>2*(O41-G41)*(1-O41)*O41*F41</f>
        <v/>
      </c>
    </row>
    <row r="42" ht="14.25" customHeight="1" s="96">
      <c r="A42" s="114" t="n"/>
      <c r="B42" s="44" t="n">
        <v>38</v>
      </c>
      <c r="C42" s="4" t="n">
        <v>4.9</v>
      </c>
      <c r="D42" s="7" t="n">
        <v>3.1</v>
      </c>
      <c r="E42" s="7" t="n">
        <v>1.5</v>
      </c>
      <c r="F42" s="7" t="n">
        <v>0.1</v>
      </c>
      <c r="G42" s="45" t="n">
        <v>0</v>
      </c>
      <c r="I42" s="44">
        <f>I41-$K$2*T41</f>
        <v/>
      </c>
      <c r="J42" s="46">
        <f>J41-$K$2*U41</f>
        <v/>
      </c>
      <c r="K42" s="46">
        <f>K41-$K$2*V41</f>
        <v/>
      </c>
      <c r="L42" s="46">
        <f>L41-$K$2*W41</f>
        <v/>
      </c>
      <c r="M42" s="46">
        <f>M41-$K$2*X41</f>
        <v/>
      </c>
      <c r="N42" s="46">
        <f>I42+J42*C42+K42*D42+L42*E42+F42*M42</f>
        <v/>
      </c>
      <c r="O42" s="46">
        <f>1/(1+EXP(-N42))</f>
        <v/>
      </c>
      <c r="P42" s="47">
        <f>IF(O42&gt;0.5,1,0)</f>
        <v/>
      </c>
      <c r="Q42" s="47">
        <f>O42-G42</f>
        <v/>
      </c>
      <c r="R42" s="48">
        <f>Q42^2</f>
        <v/>
      </c>
      <c r="S42">
        <f>IF(P42=G42,1,0)</f>
        <v/>
      </c>
      <c r="T42">
        <f>2*(O42-G42)*(1-O42)*O42</f>
        <v/>
      </c>
      <c r="U42">
        <f>2*(O42-G42)*(1-O42)*O42*C42</f>
        <v/>
      </c>
      <c r="V42">
        <f>2*(O42-G42)*(1-O42)*O42*D42</f>
        <v/>
      </c>
      <c r="W42">
        <f>2*(O42-G42)*(1-O42)*O42*E42</f>
        <v/>
      </c>
      <c r="X42">
        <f>2*(O42-G42)*(1-O42)*O42*F42</f>
        <v/>
      </c>
    </row>
    <row r="43" ht="14.25" customHeight="1" s="96">
      <c r="A43" s="114" t="n"/>
      <c r="B43" s="33" t="n">
        <v>39</v>
      </c>
      <c r="C43" s="4" t="n">
        <v>4.4</v>
      </c>
      <c r="D43" s="7" t="n">
        <v>3</v>
      </c>
      <c r="E43" s="7" t="n">
        <v>1.3</v>
      </c>
      <c r="F43" s="7" t="n">
        <v>0.2</v>
      </c>
      <c r="G43" s="45" t="n">
        <v>0</v>
      </c>
      <c r="I43" s="44">
        <f>I42-$K$2*T42</f>
        <v/>
      </c>
      <c r="J43" s="46">
        <f>J42-$K$2*U42</f>
        <v/>
      </c>
      <c r="K43" s="46">
        <f>K42-$K$2*V42</f>
        <v/>
      </c>
      <c r="L43" s="46">
        <f>L42-$K$2*W42</f>
        <v/>
      </c>
      <c r="M43" s="46">
        <f>M42-$K$2*X42</f>
        <v/>
      </c>
      <c r="N43" s="46">
        <f>I43+J43*C43+K43*D43+L43*E43+F43*M43</f>
        <v/>
      </c>
      <c r="O43" s="46">
        <f>1/(1+EXP(-N43))</f>
        <v/>
      </c>
      <c r="P43" s="47">
        <f>IF(O43&gt;0.5,1,0)</f>
        <v/>
      </c>
      <c r="Q43" s="47">
        <f>O43-G43</f>
        <v/>
      </c>
      <c r="R43" s="48">
        <f>Q43^2</f>
        <v/>
      </c>
      <c r="S43">
        <f>IF(P43=G43,1,0)</f>
        <v/>
      </c>
      <c r="T43">
        <f>2*(O43-G43)*(1-O43)*O43</f>
        <v/>
      </c>
      <c r="U43">
        <f>2*(O43-G43)*(1-O43)*O43*C43</f>
        <v/>
      </c>
      <c r="V43">
        <f>2*(O43-G43)*(1-O43)*O43*D43</f>
        <v/>
      </c>
      <c r="W43">
        <f>2*(O43-G43)*(1-O43)*O43*E43</f>
        <v/>
      </c>
      <c r="X43">
        <f>2*(O43-G43)*(1-O43)*O43*F43</f>
        <v/>
      </c>
    </row>
    <row r="44" ht="14.25" customHeight="1" s="96">
      <c r="A44" s="114" t="n"/>
      <c r="B44" s="44" t="n">
        <v>40</v>
      </c>
      <c r="C44" s="4" t="n">
        <v>5.1</v>
      </c>
      <c r="D44" s="7" t="n">
        <v>3.4</v>
      </c>
      <c r="E44" s="7" t="n">
        <v>1.5</v>
      </c>
      <c r="F44" s="7" t="n">
        <v>0.2</v>
      </c>
      <c r="G44" s="45" t="n">
        <v>0</v>
      </c>
      <c r="I44" s="44">
        <f>I43-$K$2*T43</f>
        <v/>
      </c>
      <c r="J44" s="46">
        <f>J43-$K$2*U43</f>
        <v/>
      </c>
      <c r="K44" s="46">
        <f>K43-$K$2*V43</f>
        <v/>
      </c>
      <c r="L44" s="46">
        <f>L43-$K$2*W43</f>
        <v/>
      </c>
      <c r="M44" s="46">
        <f>M43-$K$2*X43</f>
        <v/>
      </c>
      <c r="N44" s="46">
        <f>I44+J44*C44+K44*D44+L44*E44+F44*M44</f>
        <v/>
      </c>
      <c r="O44" s="46">
        <f>1/(1+EXP(-N44))</f>
        <v/>
      </c>
      <c r="P44" s="47">
        <f>IF(O44&gt;0.5,1,0)</f>
        <v/>
      </c>
      <c r="Q44" s="47">
        <f>O44-G44</f>
        <v/>
      </c>
      <c r="R44" s="48">
        <f>Q44^2</f>
        <v/>
      </c>
      <c r="S44">
        <f>IF(P44=G44,1,0)</f>
        <v/>
      </c>
      <c r="T44">
        <f>2*(O44-G44)*(1-O44)*O44</f>
        <v/>
      </c>
      <c r="U44">
        <f>2*(O44-G44)*(1-O44)*O44*C44</f>
        <v/>
      </c>
      <c r="V44">
        <f>2*(O44-G44)*(1-O44)*O44*D44</f>
        <v/>
      </c>
      <c r="W44">
        <f>2*(O44-G44)*(1-O44)*O44*E44</f>
        <v/>
      </c>
      <c r="X44">
        <f>2*(O44-G44)*(1-O44)*O44*F44</f>
        <v/>
      </c>
    </row>
    <row r="45" ht="14.25" customHeight="1" s="96">
      <c r="A45" s="114" t="n"/>
      <c r="B45" s="33" t="n">
        <v>41</v>
      </c>
      <c r="C45" s="4" t="n">
        <v>7</v>
      </c>
      <c r="D45" s="7" t="n">
        <v>3.2</v>
      </c>
      <c r="E45" s="7" t="n">
        <v>4.7</v>
      </c>
      <c r="F45" s="7" t="n">
        <v>1.4</v>
      </c>
      <c r="G45" s="45" t="n">
        <v>1</v>
      </c>
      <c r="I45" s="44">
        <f>I44-$K$2*T44</f>
        <v/>
      </c>
      <c r="J45" s="46">
        <f>J44-$K$2*U44</f>
        <v/>
      </c>
      <c r="K45" s="46">
        <f>K44-$K$2*V44</f>
        <v/>
      </c>
      <c r="L45" s="46">
        <f>L44-$K$2*W44</f>
        <v/>
      </c>
      <c r="M45" s="46">
        <f>M44-$K$2*X44</f>
        <v/>
      </c>
      <c r="N45" s="46">
        <f>I45+J45*C45+K45*D45+L45*E45+F45*M45</f>
        <v/>
      </c>
      <c r="O45" s="46">
        <f>1/(1+EXP(-N45))</f>
        <v/>
      </c>
      <c r="P45" s="47">
        <f>IF(O45&gt;0.5,1,0)</f>
        <v/>
      </c>
      <c r="Q45" s="47">
        <f>O45-G45</f>
        <v/>
      </c>
      <c r="R45" s="48">
        <f>Q45^2</f>
        <v/>
      </c>
      <c r="S45">
        <f>IF(P45=G45,1,0)</f>
        <v/>
      </c>
      <c r="T45">
        <f>2*(O45-G45)*(1-O45)*O45</f>
        <v/>
      </c>
      <c r="U45">
        <f>2*(O45-G45)*(1-O45)*O45*C45</f>
        <v/>
      </c>
      <c r="V45">
        <f>2*(O45-G45)*(1-O45)*O45*D45</f>
        <v/>
      </c>
      <c r="W45">
        <f>2*(O45-G45)*(1-O45)*O45*E45</f>
        <v/>
      </c>
      <c r="X45">
        <f>2*(O45-G45)*(1-O45)*O45*F45</f>
        <v/>
      </c>
    </row>
    <row r="46" ht="14.25" customHeight="1" s="96">
      <c r="A46" s="114" t="n"/>
      <c r="B46" s="44" t="n">
        <v>42</v>
      </c>
      <c r="C46" s="4" t="n">
        <v>6.4</v>
      </c>
      <c r="D46" s="7" t="n">
        <v>3.2</v>
      </c>
      <c r="E46" s="7" t="n">
        <v>4.5</v>
      </c>
      <c r="F46" s="7" t="n">
        <v>1.5</v>
      </c>
      <c r="G46" s="45" t="n">
        <v>1</v>
      </c>
      <c r="I46" s="44">
        <f>I45-$K$2*T45</f>
        <v/>
      </c>
      <c r="J46" s="46">
        <f>J45-$K$2*U45</f>
        <v/>
      </c>
      <c r="K46" s="46">
        <f>K45-$K$2*V45</f>
        <v/>
      </c>
      <c r="L46" s="46">
        <f>L45-$K$2*W45</f>
        <v/>
      </c>
      <c r="M46" s="46">
        <f>M45-$K$2*X45</f>
        <v/>
      </c>
      <c r="N46" s="46">
        <f>I46+J46*C46+K46*D46+L46*E46+F46*M46</f>
        <v/>
      </c>
      <c r="O46" s="46">
        <f>1/(1+EXP(-N46))</f>
        <v/>
      </c>
      <c r="P46" s="47">
        <f>IF(O46&gt;0.5,1,0)</f>
        <v/>
      </c>
      <c r="Q46" s="47">
        <f>O46-G46</f>
        <v/>
      </c>
      <c r="R46" s="48">
        <f>Q46^2</f>
        <v/>
      </c>
      <c r="S46">
        <f>IF(P46=G46,1,0)</f>
        <v/>
      </c>
      <c r="T46">
        <f>2*(O46-G46)*(1-O46)*O46</f>
        <v/>
      </c>
      <c r="U46">
        <f>2*(O46-G46)*(1-O46)*O46*C46</f>
        <v/>
      </c>
      <c r="V46">
        <f>2*(O46-G46)*(1-O46)*O46*D46</f>
        <v/>
      </c>
      <c r="W46">
        <f>2*(O46-G46)*(1-O46)*O46*E46</f>
        <v/>
      </c>
      <c r="X46">
        <f>2*(O46-G46)*(1-O46)*O46*F46</f>
        <v/>
      </c>
    </row>
    <row r="47" ht="14.25" customHeight="1" s="96">
      <c r="A47" s="114" t="n"/>
      <c r="B47" s="33" t="n">
        <v>43</v>
      </c>
      <c r="C47" s="4" t="n">
        <v>6.9</v>
      </c>
      <c r="D47" s="7" t="n">
        <v>3.1</v>
      </c>
      <c r="E47" s="7" t="n">
        <v>4.9</v>
      </c>
      <c r="F47" s="7" t="n">
        <v>1.5</v>
      </c>
      <c r="G47" s="45" t="n">
        <v>1</v>
      </c>
      <c r="I47" s="44">
        <f>I46-$K$2*T46</f>
        <v/>
      </c>
      <c r="J47" s="46">
        <f>J46-$K$2*U46</f>
        <v/>
      </c>
      <c r="K47" s="46">
        <f>K46-$K$2*V46</f>
        <v/>
      </c>
      <c r="L47" s="46">
        <f>L46-$K$2*W46</f>
        <v/>
      </c>
      <c r="M47" s="46">
        <f>M46-$K$2*X46</f>
        <v/>
      </c>
      <c r="N47" s="46">
        <f>I47+J47*C47+K47*D47+L47*E47+F47*M47</f>
        <v/>
      </c>
      <c r="O47" s="46">
        <f>1/(1+EXP(-N47))</f>
        <v/>
      </c>
      <c r="P47" s="47">
        <f>IF(O47&gt;0.5,1,0)</f>
        <v/>
      </c>
      <c r="Q47" s="47">
        <f>O47-G47</f>
        <v/>
      </c>
      <c r="R47" s="48">
        <f>Q47^2</f>
        <v/>
      </c>
      <c r="S47">
        <f>IF(P47=G47,1,0)</f>
        <v/>
      </c>
      <c r="T47">
        <f>2*(O47-G47)*(1-O47)*O47</f>
        <v/>
      </c>
      <c r="U47">
        <f>2*(O47-G47)*(1-O47)*O47*C47</f>
        <v/>
      </c>
      <c r="V47">
        <f>2*(O47-G47)*(1-O47)*O47*D47</f>
        <v/>
      </c>
      <c r="W47">
        <f>2*(O47-G47)*(1-O47)*O47*E47</f>
        <v/>
      </c>
      <c r="X47">
        <f>2*(O47-G47)*(1-O47)*O47*F47</f>
        <v/>
      </c>
    </row>
    <row r="48" ht="14.25" customHeight="1" s="96">
      <c r="A48" s="114" t="n"/>
      <c r="B48" s="44" t="n">
        <v>44</v>
      </c>
      <c r="C48" s="4" t="n">
        <v>5.5</v>
      </c>
      <c r="D48" s="7" t="n">
        <v>2.3</v>
      </c>
      <c r="E48" s="7" t="n">
        <v>4</v>
      </c>
      <c r="F48" s="7" t="n">
        <v>1.3</v>
      </c>
      <c r="G48" s="45" t="n">
        <v>1</v>
      </c>
      <c r="I48" s="44">
        <f>I47-$K$2*T47</f>
        <v/>
      </c>
      <c r="J48" s="46">
        <f>J47-$K$2*U47</f>
        <v/>
      </c>
      <c r="K48" s="46">
        <f>K47-$K$2*V47</f>
        <v/>
      </c>
      <c r="L48" s="46">
        <f>L47-$K$2*W47</f>
        <v/>
      </c>
      <c r="M48" s="46">
        <f>M47-$K$2*X47</f>
        <v/>
      </c>
      <c r="N48" s="46">
        <f>I48+J48*C48+K48*D48+L48*E48+F48*M48</f>
        <v/>
      </c>
      <c r="O48" s="46">
        <f>1/(1+EXP(-N48))</f>
        <v/>
      </c>
      <c r="P48" s="47">
        <f>IF(O48&gt;0.5,1,0)</f>
        <v/>
      </c>
      <c r="Q48" s="47">
        <f>O48-G48</f>
        <v/>
      </c>
      <c r="R48" s="48">
        <f>Q48^2</f>
        <v/>
      </c>
      <c r="S48">
        <f>IF(P48=G48,1,0)</f>
        <v/>
      </c>
      <c r="T48">
        <f>2*(O48-G48)*(1-O48)*O48</f>
        <v/>
      </c>
      <c r="U48">
        <f>2*(O48-G48)*(1-O48)*O48*C48</f>
        <v/>
      </c>
      <c r="V48">
        <f>2*(O48-G48)*(1-O48)*O48*D48</f>
        <v/>
      </c>
      <c r="W48">
        <f>2*(O48-G48)*(1-O48)*O48*E48</f>
        <v/>
      </c>
      <c r="X48">
        <f>2*(O48-G48)*(1-O48)*O48*F48</f>
        <v/>
      </c>
    </row>
    <row r="49" ht="14.25" customHeight="1" s="96">
      <c r="A49" s="114" t="n"/>
      <c r="B49" s="33" t="n">
        <v>45</v>
      </c>
      <c r="C49" s="4" t="n">
        <v>6.5</v>
      </c>
      <c r="D49" s="7" t="n">
        <v>2.8</v>
      </c>
      <c r="E49" s="7" t="n">
        <v>4.6</v>
      </c>
      <c r="F49" s="7" t="n">
        <v>1.5</v>
      </c>
      <c r="G49" s="45" t="n">
        <v>1</v>
      </c>
      <c r="I49" s="44">
        <f>I48-$K$2*T48</f>
        <v/>
      </c>
      <c r="J49" s="46">
        <f>J48-$K$2*U48</f>
        <v/>
      </c>
      <c r="K49" s="46">
        <f>K48-$K$2*V48</f>
        <v/>
      </c>
      <c r="L49" s="46">
        <f>L48-$K$2*W48</f>
        <v/>
      </c>
      <c r="M49" s="46">
        <f>M48-$K$2*X48</f>
        <v/>
      </c>
      <c r="N49" s="46">
        <f>I49+J49*C49+K49*D49+L49*E49+F49*M49</f>
        <v/>
      </c>
      <c r="O49" s="46">
        <f>1/(1+EXP(-N49))</f>
        <v/>
      </c>
      <c r="P49" s="47">
        <f>IF(O49&gt;0.5,1,0)</f>
        <v/>
      </c>
      <c r="Q49" s="47">
        <f>O49-G49</f>
        <v/>
      </c>
      <c r="R49" s="48">
        <f>Q49^2</f>
        <v/>
      </c>
      <c r="S49">
        <f>IF(P49=G49,1,0)</f>
        <v/>
      </c>
      <c r="T49">
        <f>2*(O49-G49)*(1-O49)*O49</f>
        <v/>
      </c>
      <c r="U49">
        <f>2*(O49-G49)*(1-O49)*O49*C49</f>
        <v/>
      </c>
      <c r="V49">
        <f>2*(O49-G49)*(1-O49)*O49*D49</f>
        <v/>
      </c>
      <c r="W49">
        <f>2*(O49-G49)*(1-O49)*O49*E49</f>
        <v/>
      </c>
      <c r="X49">
        <f>2*(O49-G49)*(1-O49)*O49*F49</f>
        <v/>
      </c>
    </row>
    <row r="50" ht="14.25" customHeight="1" s="96">
      <c r="A50" s="114" t="n"/>
      <c r="B50" s="44" t="n">
        <v>46</v>
      </c>
      <c r="C50" s="4" t="n">
        <v>5.7</v>
      </c>
      <c r="D50" s="7" t="n">
        <v>2.8</v>
      </c>
      <c r="E50" s="7" t="n">
        <v>4.5</v>
      </c>
      <c r="F50" s="7" t="n">
        <v>1.3</v>
      </c>
      <c r="G50" s="45" t="n">
        <v>1</v>
      </c>
      <c r="I50" s="44">
        <f>I49-$K$2*T49</f>
        <v/>
      </c>
      <c r="J50" s="46">
        <f>J49-$K$2*U49</f>
        <v/>
      </c>
      <c r="K50" s="46">
        <f>K49-$K$2*V49</f>
        <v/>
      </c>
      <c r="L50" s="46">
        <f>L49-$K$2*W49</f>
        <v/>
      </c>
      <c r="M50" s="46">
        <f>M49-$K$2*X49</f>
        <v/>
      </c>
      <c r="N50" s="46">
        <f>I50+J50*C50+K50*D50+L50*E50+F50*M50</f>
        <v/>
      </c>
      <c r="O50" s="46">
        <f>1/(1+EXP(-N50))</f>
        <v/>
      </c>
      <c r="P50" s="47">
        <f>IF(O50&gt;0.5,1,0)</f>
        <v/>
      </c>
      <c r="Q50" s="47">
        <f>O50-G50</f>
        <v/>
      </c>
      <c r="R50" s="48">
        <f>Q50^2</f>
        <v/>
      </c>
      <c r="S50">
        <f>IF(P50=G50,1,0)</f>
        <v/>
      </c>
      <c r="T50">
        <f>2*(O50-G50)*(1-O50)*O50</f>
        <v/>
      </c>
      <c r="U50">
        <f>2*(O50-G50)*(1-O50)*O50*C50</f>
        <v/>
      </c>
      <c r="V50">
        <f>2*(O50-G50)*(1-O50)*O50*D50</f>
        <v/>
      </c>
      <c r="W50">
        <f>2*(O50-G50)*(1-O50)*O50*E50</f>
        <v/>
      </c>
      <c r="X50">
        <f>2*(O50-G50)*(1-O50)*O50*F50</f>
        <v/>
      </c>
    </row>
    <row r="51" ht="14.25" customHeight="1" s="96">
      <c r="A51" s="114" t="n"/>
      <c r="B51" s="33" t="n">
        <v>47</v>
      </c>
      <c r="C51" s="4" t="n">
        <v>6.3</v>
      </c>
      <c r="D51" s="7" t="n">
        <v>3.3</v>
      </c>
      <c r="E51" s="7" t="n">
        <v>4.7</v>
      </c>
      <c r="F51" s="7" t="n">
        <v>1.6</v>
      </c>
      <c r="G51" s="45" t="n">
        <v>1</v>
      </c>
      <c r="I51" s="44">
        <f>I50-$K$2*T50</f>
        <v/>
      </c>
      <c r="J51" s="46">
        <f>J50-$K$2*U50</f>
        <v/>
      </c>
      <c r="K51" s="46">
        <f>K50-$K$2*V50</f>
        <v/>
      </c>
      <c r="L51" s="46">
        <f>L50-$K$2*W50</f>
        <v/>
      </c>
      <c r="M51" s="46">
        <f>M50-$K$2*X50</f>
        <v/>
      </c>
      <c r="N51" s="46">
        <f>I51+J51*C51+K51*D51+L51*E51+F51*M51</f>
        <v/>
      </c>
      <c r="O51" s="46">
        <f>1/(1+EXP(-N51))</f>
        <v/>
      </c>
      <c r="P51" s="47">
        <f>IF(O51&gt;0.5,1,0)</f>
        <v/>
      </c>
      <c r="Q51" s="47">
        <f>O51-G51</f>
        <v/>
      </c>
      <c r="R51" s="48">
        <f>Q51^2</f>
        <v/>
      </c>
      <c r="S51">
        <f>IF(P51=G51,1,0)</f>
        <v/>
      </c>
      <c r="T51">
        <f>2*(O51-G51)*(1-O51)*O51</f>
        <v/>
      </c>
      <c r="U51">
        <f>2*(O51-G51)*(1-O51)*O51*C51</f>
        <v/>
      </c>
      <c r="V51">
        <f>2*(O51-G51)*(1-O51)*O51*D51</f>
        <v/>
      </c>
      <c r="W51">
        <f>2*(O51-G51)*(1-O51)*O51*E51</f>
        <v/>
      </c>
      <c r="X51">
        <f>2*(O51-G51)*(1-O51)*O51*F51</f>
        <v/>
      </c>
    </row>
    <row r="52" ht="14.25" customHeight="1" s="96">
      <c r="A52" s="114" t="n"/>
      <c r="B52" s="44" t="n">
        <v>48</v>
      </c>
      <c r="C52" s="4" t="n">
        <v>4.9</v>
      </c>
      <c r="D52" s="7" t="n">
        <v>2.4</v>
      </c>
      <c r="E52" s="7" t="n">
        <v>3.3</v>
      </c>
      <c r="F52" s="7" t="n">
        <v>1</v>
      </c>
      <c r="G52" s="45" t="n">
        <v>1</v>
      </c>
      <c r="I52" s="44">
        <f>I51-$K$2*T51</f>
        <v/>
      </c>
      <c r="J52" s="46">
        <f>J51-$K$2*U51</f>
        <v/>
      </c>
      <c r="K52" s="46">
        <f>K51-$K$2*V51</f>
        <v/>
      </c>
      <c r="L52" s="46">
        <f>L51-$K$2*W51</f>
        <v/>
      </c>
      <c r="M52" s="46">
        <f>M51-$K$2*X51</f>
        <v/>
      </c>
      <c r="N52" s="46">
        <f>I52+J52*C52+K52*D52+L52*E52+F52*M52</f>
        <v/>
      </c>
      <c r="O52" s="46">
        <f>1/(1+EXP(-N52))</f>
        <v/>
      </c>
      <c r="P52" s="47">
        <f>IF(O52&gt;0.5,1,0)</f>
        <v/>
      </c>
      <c r="Q52" s="47">
        <f>O52-G52</f>
        <v/>
      </c>
      <c r="R52" s="48">
        <f>Q52^2</f>
        <v/>
      </c>
      <c r="S52">
        <f>IF(P52=G52,1,0)</f>
        <v/>
      </c>
      <c r="T52">
        <f>2*(O52-G52)*(1-O52)*O52</f>
        <v/>
      </c>
      <c r="U52">
        <f>2*(O52-G52)*(1-O52)*O52*C52</f>
        <v/>
      </c>
      <c r="V52">
        <f>2*(O52-G52)*(1-O52)*O52*D52</f>
        <v/>
      </c>
      <c r="W52">
        <f>2*(O52-G52)*(1-O52)*O52*E52</f>
        <v/>
      </c>
      <c r="X52">
        <f>2*(O52-G52)*(1-O52)*O52*F52</f>
        <v/>
      </c>
    </row>
    <row r="53" ht="14.25" customHeight="1" s="96">
      <c r="A53" s="114" t="n"/>
      <c r="B53" s="33" t="n">
        <v>49</v>
      </c>
      <c r="C53" s="4" t="n">
        <v>6.6</v>
      </c>
      <c r="D53" s="7" t="n">
        <v>2.9</v>
      </c>
      <c r="E53" s="7" t="n">
        <v>4.6</v>
      </c>
      <c r="F53" s="7" t="n">
        <v>1.3</v>
      </c>
      <c r="G53" s="45" t="n">
        <v>1</v>
      </c>
      <c r="I53" s="44">
        <f>I52-$K$2*T52</f>
        <v/>
      </c>
      <c r="J53" s="46">
        <f>J52-$K$2*U52</f>
        <v/>
      </c>
      <c r="K53" s="46">
        <f>K52-$K$2*V52</f>
        <v/>
      </c>
      <c r="L53" s="46">
        <f>L52-$K$2*W52</f>
        <v/>
      </c>
      <c r="M53" s="46">
        <f>M52-$K$2*X52</f>
        <v/>
      </c>
      <c r="N53" s="46">
        <f>I53+J53*C53+K53*D53+L53*E53+F53*M53</f>
        <v/>
      </c>
      <c r="O53" s="46">
        <f>1/(1+EXP(-N53))</f>
        <v/>
      </c>
      <c r="P53" s="47">
        <f>IF(O53&gt;0.5,1,0)</f>
        <v/>
      </c>
      <c r="Q53" s="47">
        <f>O53-G53</f>
        <v/>
      </c>
      <c r="R53" s="48">
        <f>Q53^2</f>
        <v/>
      </c>
      <c r="S53">
        <f>IF(P53=G53,1,0)</f>
        <v/>
      </c>
      <c r="T53">
        <f>2*(O53-G53)*(1-O53)*O53</f>
        <v/>
      </c>
      <c r="U53">
        <f>2*(O53-G53)*(1-O53)*O53*C53</f>
        <v/>
      </c>
      <c r="V53">
        <f>2*(O53-G53)*(1-O53)*O53*D53</f>
        <v/>
      </c>
      <c r="W53">
        <f>2*(O53-G53)*(1-O53)*O53*E53</f>
        <v/>
      </c>
      <c r="X53">
        <f>2*(O53-G53)*(1-O53)*O53*F53</f>
        <v/>
      </c>
    </row>
    <row r="54" ht="14.25" customHeight="1" s="96">
      <c r="A54" s="114" t="n"/>
      <c r="B54" s="44" t="n">
        <v>50</v>
      </c>
      <c r="C54" s="4" t="n">
        <v>5.2</v>
      </c>
      <c r="D54" s="7" t="n">
        <v>2.7</v>
      </c>
      <c r="E54" s="7" t="n">
        <v>3.9</v>
      </c>
      <c r="F54" s="7" t="n">
        <v>1.4</v>
      </c>
      <c r="G54" s="45" t="n">
        <v>1</v>
      </c>
      <c r="I54" s="44">
        <f>I53-$K$2*T53</f>
        <v/>
      </c>
      <c r="J54" s="46">
        <f>J53-$K$2*U53</f>
        <v/>
      </c>
      <c r="K54" s="46">
        <f>K53-$K$2*V53</f>
        <v/>
      </c>
      <c r="L54" s="46">
        <f>L53-$K$2*W53</f>
        <v/>
      </c>
      <c r="M54" s="46">
        <f>M53-$K$2*X53</f>
        <v/>
      </c>
      <c r="N54" s="46">
        <f>I54+J54*C54+K54*D54+L54*E54+F54*M54</f>
        <v/>
      </c>
      <c r="O54" s="46">
        <f>1/(1+EXP(-N54))</f>
        <v/>
      </c>
      <c r="P54" s="47">
        <f>IF(O54&gt;0.5,1,0)</f>
        <v/>
      </c>
      <c r="Q54" s="47">
        <f>O54-G54</f>
        <v/>
      </c>
      <c r="R54" s="48">
        <f>Q54^2</f>
        <v/>
      </c>
      <c r="S54">
        <f>IF(P54=G54,1,0)</f>
        <v/>
      </c>
      <c r="T54">
        <f>2*(O54-G54)*(1-O54)*O54</f>
        <v/>
      </c>
      <c r="U54">
        <f>2*(O54-G54)*(1-O54)*O54*C54</f>
        <v/>
      </c>
      <c r="V54">
        <f>2*(O54-G54)*(1-O54)*O54*D54</f>
        <v/>
      </c>
      <c r="W54">
        <f>2*(O54-G54)*(1-O54)*O54*E54</f>
        <v/>
      </c>
      <c r="X54">
        <f>2*(O54-G54)*(1-O54)*O54*F54</f>
        <v/>
      </c>
    </row>
    <row r="55" ht="14.25" customHeight="1" s="96">
      <c r="A55" s="114" t="n"/>
      <c r="B55" s="33" t="n">
        <v>51</v>
      </c>
      <c r="C55" s="4" t="n">
        <v>5</v>
      </c>
      <c r="D55" s="7" t="n">
        <v>2</v>
      </c>
      <c r="E55" s="7" t="n">
        <v>3.5</v>
      </c>
      <c r="F55" s="7" t="n">
        <v>1</v>
      </c>
      <c r="G55" s="45" t="n">
        <v>1</v>
      </c>
      <c r="I55" s="44">
        <f>I54-$K$2*T54</f>
        <v/>
      </c>
      <c r="J55" s="46">
        <f>J54-$K$2*U54</f>
        <v/>
      </c>
      <c r="K55" s="46">
        <f>K54-$K$2*V54</f>
        <v/>
      </c>
      <c r="L55" s="46">
        <f>L54-$K$2*W54</f>
        <v/>
      </c>
      <c r="M55" s="46">
        <f>M54-$K$2*X54</f>
        <v/>
      </c>
      <c r="N55" s="46">
        <f>I55+J55*C55+K55*D55+L55*E55+F55*M55</f>
        <v/>
      </c>
      <c r="O55" s="46">
        <f>1/(1+EXP(-N55))</f>
        <v/>
      </c>
      <c r="P55" s="47">
        <f>IF(O55&gt;0.5,1,0)</f>
        <v/>
      </c>
      <c r="Q55" s="47">
        <f>O55-G55</f>
        <v/>
      </c>
      <c r="R55" s="48">
        <f>Q55^2</f>
        <v/>
      </c>
      <c r="S55">
        <f>IF(P55=G55,1,0)</f>
        <v/>
      </c>
      <c r="T55">
        <f>2*(O55-G55)*(1-O55)*O55</f>
        <v/>
      </c>
      <c r="U55">
        <f>2*(O55-G55)*(1-O55)*O55*C55</f>
        <v/>
      </c>
      <c r="V55">
        <f>2*(O55-G55)*(1-O55)*O55*D55</f>
        <v/>
      </c>
      <c r="W55">
        <f>2*(O55-G55)*(1-O55)*O55*E55</f>
        <v/>
      </c>
      <c r="X55">
        <f>2*(O55-G55)*(1-O55)*O55*F55</f>
        <v/>
      </c>
    </row>
    <row r="56" ht="14.25" customHeight="1" s="96">
      <c r="A56" s="114" t="n"/>
      <c r="B56" s="44" t="n">
        <v>52</v>
      </c>
      <c r="C56" s="4" t="n">
        <v>5.9</v>
      </c>
      <c r="D56" s="7" t="n">
        <v>3</v>
      </c>
      <c r="E56" s="7" t="n">
        <v>4.2</v>
      </c>
      <c r="F56" s="7" t="n">
        <v>1.5</v>
      </c>
      <c r="G56" s="45" t="n">
        <v>1</v>
      </c>
      <c r="I56" s="44">
        <f>I55-$K$2*T55</f>
        <v/>
      </c>
      <c r="J56" s="46">
        <f>J55-$K$2*U55</f>
        <v/>
      </c>
      <c r="K56" s="46">
        <f>K55-$K$2*V55</f>
        <v/>
      </c>
      <c r="L56" s="46">
        <f>L55-$K$2*W55</f>
        <v/>
      </c>
      <c r="M56" s="46">
        <f>M55-$K$2*X55</f>
        <v/>
      </c>
      <c r="N56" s="46">
        <f>I56+J56*C56+K56*D56+L56*E56+F56*M56</f>
        <v/>
      </c>
      <c r="O56" s="46">
        <f>1/(1+EXP(-N56))</f>
        <v/>
      </c>
      <c r="P56" s="47">
        <f>IF(O56&gt;0.5,1,0)</f>
        <v/>
      </c>
      <c r="Q56" s="47">
        <f>O56-G56</f>
        <v/>
      </c>
      <c r="R56" s="48">
        <f>Q56^2</f>
        <v/>
      </c>
      <c r="S56">
        <f>IF(P56=G56,1,0)</f>
        <v/>
      </c>
      <c r="T56">
        <f>2*(O56-G56)*(1-O56)*O56</f>
        <v/>
      </c>
      <c r="U56">
        <f>2*(O56-G56)*(1-O56)*O56*C56</f>
        <v/>
      </c>
      <c r="V56">
        <f>2*(O56-G56)*(1-O56)*O56*D56</f>
        <v/>
      </c>
      <c r="W56">
        <f>2*(O56-G56)*(1-O56)*O56*E56</f>
        <v/>
      </c>
      <c r="X56">
        <f>2*(O56-G56)*(1-O56)*O56*F56</f>
        <v/>
      </c>
    </row>
    <row r="57" ht="14.25" customHeight="1" s="96">
      <c r="A57" s="114" t="n"/>
      <c r="B57" s="33" t="n">
        <v>53</v>
      </c>
      <c r="C57" s="4" t="n">
        <v>6</v>
      </c>
      <c r="D57" s="7" t="n">
        <v>2.2</v>
      </c>
      <c r="E57" s="7" t="n">
        <v>4</v>
      </c>
      <c r="F57" s="7" t="n">
        <v>1</v>
      </c>
      <c r="G57" s="45" t="n">
        <v>1</v>
      </c>
      <c r="I57" s="44">
        <f>I56-$K$2*T56</f>
        <v/>
      </c>
      <c r="J57" s="46">
        <f>J56-$K$2*U56</f>
        <v/>
      </c>
      <c r="K57" s="46">
        <f>K56-$K$2*V56</f>
        <v/>
      </c>
      <c r="L57" s="46">
        <f>L56-$K$2*W56</f>
        <v/>
      </c>
      <c r="M57" s="46">
        <f>M56-$K$2*X56</f>
        <v/>
      </c>
      <c r="N57" s="46">
        <f>I57+J57*C57+K57*D57+L57*E57+F57*M57</f>
        <v/>
      </c>
      <c r="O57" s="46">
        <f>1/(1+EXP(-N57))</f>
        <v/>
      </c>
      <c r="P57" s="47">
        <f>IF(O57&gt;0.5,1,0)</f>
        <v/>
      </c>
      <c r="Q57" s="47">
        <f>O57-G57</f>
        <v/>
      </c>
      <c r="R57" s="48">
        <f>Q57^2</f>
        <v/>
      </c>
      <c r="S57">
        <f>IF(P57=G57,1,0)</f>
        <v/>
      </c>
      <c r="T57">
        <f>2*(O57-G57)*(1-O57)*O57</f>
        <v/>
      </c>
      <c r="U57">
        <f>2*(O57-G57)*(1-O57)*O57*C57</f>
        <v/>
      </c>
      <c r="V57">
        <f>2*(O57-G57)*(1-O57)*O57*D57</f>
        <v/>
      </c>
      <c r="W57">
        <f>2*(O57-G57)*(1-O57)*O57*E57</f>
        <v/>
      </c>
      <c r="X57">
        <f>2*(O57-G57)*(1-O57)*O57*F57</f>
        <v/>
      </c>
    </row>
    <row r="58" ht="14.25" customHeight="1" s="96">
      <c r="A58" s="114" t="n"/>
      <c r="B58" s="44" t="n">
        <v>54</v>
      </c>
      <c r="C58" s="4" t="n">
        <v>6.1</v>
      </c>
      <c r="D58" s="7" t="n">
        <v>2.9</v>
      </c>
      <c r="E58" s="7" t="n">
        <v>4.7</v>
      </c>
      <c r="F58" s="7" t="n">
        <v>1.4</v>
      </c>
      <c r="G58" s="45" t="n">
        <v>1</v>
      </c>
      <c r="I58" s="44">
        <f>I57-$K$2*T57</f>
        <v/>
      </c>
      <c r="J58" s="46">
        <f>J57-$K$2*U57</f>
        <v/>
      </c>
      <c r="K58" s="46">
        <f>K57-$K$2*V57</f>
        <v/>
      </c>
      <c r="L58" s="46">
        <f>L57-$K$2*W57</f>
        <v/>
      </c>
      <c r="M58" s="46">
        <f>M57-$K$2*X57</f>
        <v/>
      </c>
      <c r="N58" s="46">
        <f>I58+J58*C58+K58*D58+L58*E58+F58*M58</f>
        <v/>
      </c>
      <c r="O58" s="46">
        <f>1/(1+EXP(-N58))</f>
        <v/>
      </c>
      <c r="P58" s="47">
        <f>IF(O58&gt;0.5,1,0)</f>
        <v/>
      </c>
      <c r="Q58" s="47">
        <f>O58-G58</f>
        <v/>
      </c>
      <c r="R58" s="48">
        <f>Q58^2</f>
        <v/>
      </c>
      <c r="S58">
        <f>IF(P58=G58,1,0)</f>
        <v/>
      </c>
      <c r="T58">
        <f>2*(O58-G58)*(1-O58)*O58</f>
        <v/>
      </c>
      <c r="U58">
        <f>2*(O58-G58)*(1-O58)*O58*C58</f>
        <v/>
      </c>
      <c r="V58">
        <f>2*(O58-G58)*(1-O58)*O58*D58</f>
        <v/>
      </c>
      <c r="W58">
        <f>2*(O58-G58)*(1-O58)*O58*E58</f>
        <v/>
      </c>
      <c r="X58">
        <f>2*(O58-G58)*(1-O58)*O58*F58</f>
        <v/>
      </c>
    </row>
    <row r="59" ht="14.25" customHeight="1" s="96">
      <c r="A59" s="114" t="n"/>
      <c r="B59" s="33" t="n">
        <v>55</v>
      </c>
      <c r="C59" s="4" t="n">
        <v>5.6</v>
      </c>
      <c r="D59" s="7" t="n">
        <v>2.9</v>
      </c>
      <c r="E59" s="7" t="n">
        <v>3.6</v>
      </c>
      <c r="F59" s="7" t="n">
        <v>1.3</v>
      </c>
      <c r="G59" s="45" t="n">
        <v>1</v>
      </c>
      <c r="I59" s="44">
        <f>I58-$K$2*T58</f>
        <v/>
      </c>
      <c r="J59" s="46">
        <f>J58-$K$2*U58</f>
        <v/>
      </c>
      <c r="K59" s="46">
        <f>K58-$K$2*V58</f>
        <v/>
      </c>
      <c r="L59" s="46">
        <f>L58-$K$2*W58</f>
        <v/>
      </c>
      <c r="M59" s="46">
        <f>M58-$K$2*X58</f>
        <v/>
      </c>
      <c r="N59" s="46">
        <f>I59+J59*C59+K59*D59+L59*E59+F59*M59</f>
        <v/>
      </c>
      <c r="O59" s="46">
        <f>1/(1+EXP(-N59))</f>
        <v/>
      </c>
      <c r="P59" s="47">
        <f>IF(O59&gt;0.5,1,0)</f>
        <v/>
      </c>
      <c r="Q59" s="47">
        <f>O59-G59</f>
        <v/>
      </c>
      <c r="R59" s="48">
        <f>Q59^2</f>
        <v/>
      </c>
      <c r="S59">
        <f>IF(P59=G59,1,0)</f>
        <v/>
      </c>
      <c r="T59">
        <f>2*(O59-G59)*(1-O59)*O59</f>
        <v/>
      </c>
      <c r="U59">
        <f>2*(O59-G59)*(1-O59)*O59*C59</f>
        <v/>
      </c>
      <c r="V59">
        <f>2*(O59-G59)*(1-O59)*O59*D59</f>
        <v/>
      </c>
      <c r="W59">
        <f>2*(O59-G59)*(1-O59)*O59*E59</f>
        <v/>
      </c>
      <c r="X59">
        <f>2*(O59-G59)*(1-O59)*O59*F59</f>
        <v/>
      </c>
    </row>
    <row r="60" ht="14.25" customHeight="1" s="96">
      <c r="A60" s="114" t="n"/>
      <c r="B60" s="44" t="n">
        <v>56</v>
      </c>
      <c r="C60" s="4" t="n">
        <v>6.7</v>
      </c>
      <c r="D60" s="7" t="n">
        <v>3.1</v>
      </c>
      <c r="E60" s="7" t="n">
        <v>4.4</v>
      </c>
      <c r="F60" s="7" t="n">
        <v>1.4</v>
      </c>
      <c r="G60" s="45" t="n">
        <v>1</v>
      </c>
      <c r="I60" s="44">
        <f>I59-$K$2*T59</f>
        <v/>
      </c>
      <c r="J60" s="46">
        <f>J59-$K$2*U59</f>
        <v/>
      </c>
      <c r="K60" s="46">
        <f>K59-$K$2*V59</f>
        <v/>
      </c>
      <c r="L60" s="46">
        <f>L59-$K$2*W59</f>
        <v/>
      </c>
      <c r="M60" s="46">
        <f>M59-$K$2*X59</f>
        <v/>
      </c>
      <c r="N60" s="46">
        <f>I60+J60*C60+K60*D60+L60*E60+F60*M60</f>
        <v/>
      </c>
      <c r="O60" s="46">
        <f>1/(1+EXP(-N60))</f>
        <v/>
      </c>
      <c r="P60" s="47">
        <f>IF(O60&gt;0.5,1,0)</f>
        <v/>
      </c>
      <c r="Q60" s="47">
        <f>O60-G60</f>
        <v/>
      </c>
      <c r="R60" s="48">
        <f>Q60^2</f>
        <v/>
      </c>
      <c r="S60">
        <f>IF(P60=G60,1,0)</f>
        <v/>
      </c>
      <c r="T60">
        <f>2*(O60-G60)*(1-O60)*O60</f>
        <v/>
      </c>
      <c r="U60">
        <f>2*(O60-G60)*(1-O60)*O60*C60</f>
        <v/>
      </c>
      <c r="V60">
        <f>2*(O60-G60)*(1-O60)*O60*D60</f>
        <v/>
      </c>
      <c r="W60">
        <f>2*(O60-G60)*(1-O60)*O60*E60</f>
        <v/>
      </c>
      <c r="X60">
        <f>2*(O60-G60)*(1-O60)*O60*F60</f>
        <v/>
      </c>
    </row>
    <row r="61" ht="14.25" customHeight="1" s="96">
      <c r="A61" s="114" t="n"/>
      <c r="B61" s="33" t="n">
        <v>57</v>
      </c>
      <c r="C61" s="4" t="n">
        <v>5.6</v>
      </c>
      <c r="D61" s="7" t="n">
        <v>3</v>
      </c>
      <c r="E61" s="7" t="n">
        <v>4.5</v>
      </c>
      <c r="F61" s="7" t="n">
        <v>1.5</v>
      </c>
      <c r="G61" s="45" t="n">
        <v>1</v>
      </c>
      <c r="I61" s="44">
        <f>I60-$K$2*T60</f>
        <v/>
      </c>
      <c r="J61" s="46">
        <f>J60-$K$2*U60</f>
        <v/>
      </c>
      <c r="K61" s="46">
        <f>K60-$K$2*V60</f>
        <v/>
      </c>
      <c r="L61" s="46">
        <f>L60-$K$2*W60</f>
        <v/>
      </c>
      <c r="M61" s="46">
        <f>M60-$K$2*X60</f>
        <v/>
      </c>
      <c r="N61" s="46">
        <f>I61+J61*C61+K61*D61+L61*E61+F61*M61</f>
        <v/>
      </c>
      <c r="O61" s="46">
        <f>1/(1+EXP(-N61))</f>
        <v/>
      </c>
      <c r="P61" s="47">
        <f>IF(O61&gt;0.5,1,0)</f>
        <v/>
      </c>
      <c r="Q61" s="47">
        <f>O61-G61</f>
        <v/>
      </c>
      <c r="R61" s="48">
        <f>Q61^2</f>
        <v/>
      </c>
      <c r="S61">
        <f>IF(P61=G61,1,0)</f>
        <v/>
      </c>
      <c r="T61">
        <f>2*(O61-G61)*(1-O61)*O61</f>
        <v/>
      </c>
      <c r="U61">
        <f>2*(O61-G61)*(1-O61)*O61*C61</f>
        <v/>
      </c>
      <c r="V61">
        <f>2*(O61-G61)*(1-O61)*O61*D61</f>
        <v/>
      </c>
      <c r="W61">
        <f>2*(O61-G61)*(1-O61)*O61*E61</f>
        <v/>
      </c>
      <c r="X61">
        <f>2*(O61-G61)*(1-O61)*O61*F61</f>
        <v/>
      </c>
    </row>
    <row r="62" ht="14.25" customHeight="1" s="96">
      <c r="A62" s="114" t="n"/>
      <c r="B62" s="44" t="n">
        <v>58</v>
      </c>
      <c r="C62" s="4" t="n">
        <v>5.8</v>
      </c>
      <c r="D62" s="7" t="n">
        <v>2.7</v>
      </c>
      <c r="E62" s="7" t="n">
        <v>4.1</v>
      </c>
      <c r="F62" s="7" t="n">
        <v>1</v>
      </c>
      <c r="G62" s="45" t="n">
        <v>1</v>
      </c>
      <c r="I62" s="44">
        <f>I61-$K$2*T61</f>
        <v/>
      </c>
      <c r="J62" s="46">
        <f>J61-$K$2*U61</f>
        <v/>
      </c>
      <c r="K62" s="46">
        <f>K61-$K$2*V61</f>
        <v/>
      </c>
      <c r="L62" s="46">
        <f>L61-$K$2*W61</f>
        <v/>
      </c>
      <c r="M62" s="46">
        <f>M61-$K$2*X61</f>
        <v/>
      </c>
      <c r="N62" s="46">
        <f>I62+J62*C62+K62*D62+L62*E62+F62*M62</f>
        <v/>
      </c>
      <c r="O62" s="46">
        <f>1/(1+EXP(-N62))</f>
        <v/>
      </c>
      <c r="P62" s="47">
        <f>IF(O62&gt;0.5,1,0)</f>
        <v/>
      </c>
      <c r="Q62" s="47">
        <f>O62-G62</f>
        <v/>
      </c>
      <c r="R62" s="48">
        <f>Q62^2</f>
        <v/>
      </c>
      <c r="S62">
        <f>IF(P62=G62,1,0)</f>
        <v/>
      </c>
      <c r="T62">
        <f>2*(O62-G62)*(1-O62)*O62</f>
        <v/>
      </c>
      <c r="U62">
        <f>2*(O62-G62)*(1-O62)*O62*C62</f>
        <v/>
      </c>
      <c r="V62">
        <f>2*(O62-G62)*(1-O62)*O62*D62</f>
        <v/>
      </c>
      <c r="W62">
        <f>2*(O62-G62)*(1-O62)*O62*E62</f>
        <v/>
      </c>
      <c r="X62">
        <f>2*(O62-G62)*(1-O62)*O62*F62</f>
        <v/>
      </c>
    </row>
    <row r="63" ht="14.25" customHeight="1" s="96">
      <c r="A63" s="114" t="n"/>
      <c r="B63" s="33" t="n">
        <v>59</v>
      </c>
      <c r="C63" s="4" t="n">
        <v>6.2</v>
      </c>
      <c r="D63" s="7" t="n">
        <v>2.2</v>
      </c>
      <c r="E63" s="7" t="n">
        <v>4.5</v>
      </c>
      <c r="F63" s="7" t="n">
        <v>1.5</v>
      </c>
      <c r="G63" s="45" t="n">
        <v>1</v>
      </c>
      <c r="I63" s="44">
        <f>I62-$K$2*T62</f>
        <v/>
      </c>
      <c r="J63" s="46">
        <f>J62-$K$2*U62</f>
        <v/>
      </c>
      <c r="K63" s="46">
        <f>K62-$K$2*V62</f>
        <v/>
      </c>
      <c r="L63" s="46">
        <f>L62-$K$2*W62</f>
        <v/>
      </c>
      <c r="M63" s="46">
        <f>M62-$K$2*X62</f>
        <v/>
      </c>
      <c r="N63" s="46">
        <f>I63+J63*C63+K63*D63+L63*E63+F63*M63</f>
        <v/>
      </c>
      <c r="O63" s="46">
        <f>1/(1+EXP(-N63))</f>
        <v/>
      </c>
      <c r="P63" s="47">
        <f>IF(O63&gt;0.5,1,0)</f>
        <v/>
      </c>
      <c r="Q63" s="47">
        <f>O63-G63</f>
        <v/>
      </c>
      <c r="R63" s="48">
        <f>Q63^2</f>
        <v/>
      </c>
      <c r="S63">
        <f>IF(P63=G63,1,0)</f>
        <v/>
      </c>
      <c r="T63">
        <f>2*(O63-G63)*(1-O63)*O63</f>
        <v/>
      </c>
      <c r="U63">
        <f>2*(O63-G63)*(1-O63)*O63*C63</f>
        <v/>
      </c>
      <c r="V63">
        <f>2*(O63-G63)*(1-O63)*O63*D63</f>
        <v/>
      </c>
      <c r="W63">
        <f>2*(O63-G63)*(1-O63)*O63*E63</f>
        <v/>
      </c>
      <c r="X63">
        <f>2*(O63-G63)*(1-O63)*O63*F63</f>
        <v/>
      </c>
    </row>
    <row r="64" ht="14.25" customHeight="1" s="96">
      <c r="A64" s="114" t="n"/>
      <c r="B64" s="44" t="n">
        <v>60</v>
      </c>
      <c r="C64" s="4" t="n">
        <v>5.6</v>
      </c>
      <c r="D64" s="7" t="n">
        <v>2.5</v>
      </c>
      <c r="E64" s="7" t="n">
        <v>3.9</v>
      </c>
      <c r="F64" s="7" t="n">
        <v>1.1</v>
      </c>
      <c r="G64" s="45" t="n">
        <v>1</v>
      </c>
      <c r="I64" s="44">
        <f>I63-$K$2*T63</f>
        <v/>
      </c>
      <c r="J64" s="46">
        <f>J63-$K$2*U63</f>
        <v/>
      </c>
      <c r="K64" s="46">
        <f>K63-$K$2*V63</f>
        <v/>
      </c>
      <c r="L64" s="46">
        <f>L63-$K$2*W63</f>
        <v/>
      </c>
      <c r="M64" s="46">
        <f>M63-$K$2*X63</f>
        <v/>
      </c>
      <c r="N64" s="46">
        <f>I64+J64*C64+K64*D64+L64*E64+F64*M64</f>
        <v/>
      </c>
      <c r="O64" s="46">
        <f>1/(1+EXP(-N64))</f>
        <v/>
      </c>
      <c r="P64" s="47">
        <f>IF(O64&gt;0.5,1,0)</f>
        <v/>
      </c>
      <c r="Q64" s="47">
        <f>O64-G64</f>
        <v/>
      </c>
      <c r="R64" s="48">
        <f>Q64^2</f>
        <v/>
      </c>
      <c r="S64">
        <f>IF(P64=G64,1,0)</f>
        <v/>
      </c>
      <c r="T64">
        <f>2*(O64-G64)*(1-O64)*O64</f>
        <v/>
      </c>
      <c r="U64">
        <f>2*(O64-G64)*(1-O64)*O64*C64</f>
        <v/>
      </c>
      <c r="V64">
        <f>2*(O64-G64)*(1-O64)*O64*D64</f>
        <v/>
      </c>
      <c r="W64">
        <f>2*(O64-G64)*(1-O64)*O64*E64</f>
        <v/>
      </c>
      <c r="X64">
        <f>2*(O64-G64)*(1-O64)*O64*F64</f>
        <v/>
      </c>
    </row>
    <row r="65" ht="14.25" customHeight="1" s="96">
      <c r="A65" s="114" t="n"/>
      <c r="B65" s="33" t="n">
        <v>61</v>
      </c>
      <c r="C65" s="4" t="n">
        <v>5.9</v>
      </c>
      <c r="D65" s="7" t="n">
        <v>3.2</v>
      </c>
      <c r="E65" s="7" t="n">
        <v>4.8</v>
      </c>
      <c r="F65" s="7" t="n">
        <v>1.8</v>
      </c>
      <c r="G65" s="45" t="n">
        <v>1</v>
      </c>
      <c r="I65" s="44">
        <f>I64-$K$2*T64</f>
        <v/>
      </c>
      <c r="J65" s="46">
        <f>J64-$K$2*U64</f>
        <v/>
      </c>
      <c r="K65" s="46">
        <f>K64-$K$2*V64</f>
        <v/>
      </c>
      <c r="L65" s="46">
        <f>L64-$K$2*W64</f>
        <v/>
      </c>
      <c r="M65" s="46">
        <f>M64-$K$2*X64</f>
        <v/>
      </c>
      <c r="N65" s="46">
        <f>I65+J65*C65+K65*D65+L65*E65+F65*M65</f>
        <v/>
      </c>
      <c r="O65" s="46">
        <f>1/(1+EXP(-N65))</f>
        <v/>
      </c>
      <c r="P65" s="47">
        <f>IF(O65&gt;0.5,1,0)</f>
        <v/>
      </c>
      <c r="Q65" s="47">
        <f>O65-G65</f>
        <v/>
      </c>
      <c r="R65" s="48">
        <f>Q65^2</f>
        <v/>
      </c>
      <c r="S65">
        <f>IF(P65=G65,1,0)</f>
        <v/>
      </c>
      <c r="T65">
        <f>2*(O65-G65)*(1-O65)*O65</f>
        <v/>
      </c>
      <c r="U65">
        <f>2*(O65-G65)*(1-O65)*O65*C65</f>
        <v/>
      </c>
      <c r="V65">
        <f>2*(O65-G65)*(1-O65)*O65*D65</f>
        <v/>
      </c>
      <c r="W65">
        <f>2*(O65-G65)*(1-O65)*O65*E65</f>
        <v/>
      </c>
      <c r="X65">
        <f>2*(O65-G65)*(1-O65)*O65*F65</f>
        <v/>
      </c>
    </row>
    <row r="66" ht="14.25" customHeight="1" s="96">
      <c r="A66" s="114" t="n"/>
      <c r="B66" s="44" t="n">
        <v>62</v>
      </c>
      <c r="C66" s="4" t="n">
        <v>6.1</v>
      </c>
      <c r="D66" s="7" t="n">
        <v>2.8</v>
      </c>
      <c r="E66" s="7" t="n">
        <v>4</v>
      </c>
      <c r="F66" s="7" t="n">
        <v>1.3</v>
      </c>
      <c r="G66" s="45" t="n">
        <v>1</v>
      </c>
      <c r="I66" s="44">
        <f>I65-$K$2*T65</f>
        <v/>
      </c>
      <c r="J66" s="46">
        <f>J65-$K$2*U65</f>
        <v/>
      </c>
      <c r="K66" s="46">
        <f>K65-$K$2*V65</f>
        <v/>
      </c>
      <c r="L66" s="46">
        <f>L65-$K$2*W65</f>
        <v/>
      </c>
      <c r="M66" s="46">
        <f>M65-$K$2*X65</f>
        <v/>
      </c>
      <c r="N66" s="46">
        <f>I66+J66*C66+K66*D66+L66*E66+F66*M66</f>
        <v/>
      </c>
      <c r="O66" s="46">
        <f>1/(1+EXP(-N66))</f>
        <v/>
      </c>
      <c r="P66" s="47">
        <f>IF(O66&gt;0.5,1,0)</f>
        <v/>
      </c>
      <c r="Q66" s="47">
        <f>O66-G66</f>
        <v/>
      </c>
      <c r="R66" s="48">
        <f>Q66^2</f>
        <v/>
      </c>
      <c r="S66">
        <f>IF(P66=G66,1,0)</f>
        <v/>
      </c>
      <c r="T66">
        <f>2*(O66-G66)*(1-O66)*O66</f>
        <v/>
      </c>
      <c r="U66">
        <f>2*(O66-G66)*(1-O66)*O66*C66</f>
        <v/>
      </c>
      <c r="V66">
        <f>2*(O66-G66)*(1-O66)*O66*D66</f>
        <v/>
      </c>
      <c r="W66">
        <f>2*(O66-G66)*(1-O66)*O66*E66</f>
        <v/>
      </c>
      <c r="X66">
        <f>2*(O66-G66)*(1-O66)*O66*F66</f>
        <v/>
      </c>
    </row>
    <row r="67" ht="14.25" customHeight="1" s="96">
      <c r="A67" s="114" t="n"/>
      <c r="B67" s="33" t="n">
        <v>63</v>
      </c>
      <c r="C67" s="4" t="n">
        <v>6.3</v>
      </c>
      <c r="D67" s="7" t="n">
        <v>2.5</v>
      </c>
      <c r="E67" s="7" t="n">
        <v>4.9</v>
      </c>
      <c r="F67" s="7" t="n">
        <v>1.5</v>
      </c>
      <c r="G67" s="45" t="n">
        <v>1</v>
      </c>
      <c r="I67" s="44">
        <f>I66-$K$2*T66</f>
        <v/>
      </c>
      <c r="J67" s="46">
        <f>J66-$K$2*U66</f>
        <v/>
      </c>
      <c r="K67" s="46">
        <f>K66-$K$2*V66</f>
        <v/>
      </c>
      <c r="L67" s="46">
        <f>L66-$K$2*W66</f>
        <v/>
      </c>
      <c r="M67" s="46">
        <f>M66-$K$2*X66</f>
        <v/>
      </c>
      <c r="N67" s="46">
        <f>I67+J67*C67+K67*D67+L67*E67+F67*M67</f>
        <v/>
      </c>
      <c r="O67" s="46">
        <f>1/(1+EXP(-N67))</f>
        <v/>
      </c>
      <c r="P67" s="47">
        <f>IF(O67&gt;0.5,1,0)</f>
        <v/>
      </c>
      <c r="Q67" s="47">
        <f>O67-G67</f>
        <v/>
      </c>
      <c r="R67" s="48">
        <f>Q67^2</f>
        <v/>
      </c>
      <c r="S67">
        <f>IF(P67=G67,1,0)</f>
        <v/>
      </c>
      <c r="T67">
        <f>2*(O67-G67)*(1-O67)*O67</f>
        <v/>
      </c>
      <c r="U67">
        <f>2*(O67-G67)*(1-O67)*O67*C67</f>
        <v/>
      </c>
      <c r="V67">
        <f>2*(O67-G67)*(1-O67)*O67*D67</f>
        <v/>
      </c>
      <c r="W67">
        <f>2*(O67-G67)*(1-O67)*O67*E67</f>
        <v/>
      </c>
      <c r="X67">
        <f>2*(O67-G67)*(1-O67)*O67*F67</f>
        <v/>
      </c>
    </row>
    <row r="68" ht="14.25" customHeight="1" s="96">
      <c r="A68" s="114" t="n"/>
      <c r="B68" s="44" t="n">
        <v>64</v>
      </c>
      <c r="C68" s="4" t="n">
        <v>6.1</v>
      </c>
      <c r="D68" s="7" t="n">
        <v>2.8</v>
      </c>
      <c r="E68" s="7" t="n">
        <v>4.7</v>
      </c>
      <c r="F68" s="7" t="n">
        <v>1.2</v>
      </c>
      <c r="G68" s="45" t="n">
        <v>1</v>
      </c>
      <c r="I68" s="44">
        <f>I67-$K$2*T67</f>
        <v/>
      </c>
      <c r="J68" s="46">
        <f>J67-$K$2*U67</f>
        <v/>
      </c>
      <c r="K68" s="46">
        <f>K67-$K$2*V67</f>
        <v/>
      </c>
      <c r="L68" s="46">
        <f>L67-$K$2*W67</f>
        <v/>
      </c>
      <c r="M68" s="46">
        <f>M67-$K$2*X67</f>
        <v/>
      </c>
      <c r="N68" s="46">
        <f>I68+J68*C68+K68*D68+L68*E68+F68*M68</f>
        <v/>
      </c>
      <c r="O68" s="46">
        <f>1/(1+EXP(-N68))</f>
        <v/>
      </c>
      <c r="P68" s="47">
        <f>IF(O68&gt;0.5,1,0)</f>
        <v/>
      </c>
      <c r="Q68" s="47">
        <f>O68-G68</f>
        <v/>
      </c>
      <c r="R68" s="48">
        <f>Q68^2</f>
        <v/>
      </c>
      <c r="S68">
        <f>IF(P68=G68,1,0)</f>
        <v/>
      </c>
      <c r="T68">
        <f>2*(O68-G68)*(1-O68)*O68</f>
        <v/>
      </c>
      <c r="U68">
        <f>2*(O68-G68)*(1-O68)*O68*C68</f>
        <v/>
      </c>
      <c r="V68">
        <f>2*(O68-G68)*(1-O68)*O68*D68</f>
        <v/>
      </c>
      <c r="W68">
        <f>2*(O68-G68)*(1-O68)*O68*E68</f>
        <v/>
      </c>
      <c r="X68">
        <f>2*(O68-G68)*(1-O68)*O68*F68</f>
        <v/>
      </c>
    </row>
    <row r="69" ht="14.25" customHeight="1" s="96">
      <c r="A69" s="114" t="n"/>
      <c r="B69" s="33" t="n">
        <v>65</v>
      </c>
      <c r="C69" s="4" t="n">
        <v>6.4</v>
      </c>
      <c r="D69" s="7" t="n">
        <v>2.9</v>
      </c>
      <c r="E69" s="7" t="n">
        <v>4.3</v>
      </c>
      <c r="F69" s="7" t="n">
        <v>1.3</v>
      </c>
      <c r="G69" s="45" t="n">
        <v>1</v>
      </c>
      <c r="I69" s="44">
        <f>I68-$K$2*T68</f>
        <v/>
      </c>
      <c r="J69" s="46">
        <f>J68-$K$2*U68</f>
        <v/>
      </c>
      <c r="K69" s="46">
        <f>K68-$K$2*V68</f>
        <v/>
      </c>
      <c r="L69" s="46">
        <f>L68-$K$2*W68</f>
        <v/>
      </c>
      <c r="M69" s="46">
        <f>M68-$K$2*X68</f>
        <v/>
      </c>
      <c r="N69" s="46">
        <f>I69+J69*C69+K69*D69+L69*E69+F69*M69</f>
        <v/>
      </c>
      <c r="O69" s="46">
        <f>1/(1+EXP(-N69))</f>
        <v/>
      </c>
      <c r="P69" s="47">
        <f>IF(O69&gt;0.5,1,0)</f>
        <v/>
      </c>
      <c r="Q69" s="47">
        <f>O69-G69</f>
        <v/>
      </c>
      <c r="R69" s="48">
        <f>Q69^2</f>
        <v/>
      </c>
      <c r="S69">
        <f>IF(P69=G69,1,0)</f>
        <v/>
      </c>
      <c r="T69">
        <f>2*(O69-G69)*(1-O69)*O69</f>
        <v/>
      </c>
      <c r="U69">
        <f>2*(O69-G69)*(1-O69)*O69*C69</f>
        <v/>
      </c>
      <c r="V69">
        <f>2*(O69-G69)*(1-O69)*O69*D69</f>
        <v/>
      </c>
      <c r="W69">
        <f>2*(O69-G69)*(1-O69)*O69*E69</f>
        <v/>
      </c>
      <c r="X69">
        <f>2*(O69-G69)*(1-O69)*O69*F69</f>
        <v/>
      </c>
    </row>
    <row r="70" ht="14.25" customHeight="1" s="96">
      <c r="A70" s="114" t="n"/>
      <c r="B70" s="44" t="n">
        <v>66</v>
      </c>
      <c r="C70" s="4" t="n">
        <v>6.6</v>
      </c>
      <c r="D70" s="7" t="n">
        <v>3</v>
      </c>
      <c r="E70" s="7" t="n">
        <v>4.4</v>
      </c>
      <c r="F70" s="7" t="n">
        <v>1.4</v>
      </c>
      <c r="G70" s="45" t="n">
        <v>1</v>
      </c>
      <c r="I70" s="44">
        <f>I69-$K$2*T69</f>
        <v/>
      </c>
      <c r="J70" s="46">
        <f>J69-$K$2*U69</f>
        <v/>
      </c>
      <c r="K70" s="46">
        <f>K69-$K$2*V69</f>
        <v/>
      </c>
      <c r="L70" s="46">
        <f>L69-$K$2*W69</f>
        <v/>
      </c>
      <c r="M70" s="46">
        <f>M69-$K$2*X69</f>
        <v/>
      </c>
      <c r="N70" s="46">
        <f>I70+J70*C70+K70*D70+L70*E70+F70*M70</f>
        <v/>
      </c>
      <c r="O70" s="46">
        <f>1/(1+EXP(-N70))</f>
        <v/>
      </c>
      <c r="P70" s="47">
        <f>IF(O70&gt;0.5,1,0)</f>
        <v/>
      </c>
      <c r="Q70" s="47">
        <f>O70-G70</f>
        <v/>
      </c>
      <c r="R70" s="48">
        <f>Q70^2</f>
        <v/>
      </c>
      <c r="S70">
        <f>IF(P70=G70,1,0)</f>
        <v/>
      </c>
      <c r="T70">
        <f>2*(O70-G70)*(1-O70)*O70</f>
        <v/>
      </c>
      <c r="U70">
        <f>2*(O70-G70)*(1-O70)*O70*C70</f>
        <v/>
      </c>
      <c r="V70">
        <f>2*(O70-G70)*(1-O70)*O70*D70</f>
        <v/>
      </c>
      <c r="W70">
        <f>2*(O70-G70)*(1-O70)*O70*E70</f>
        <v/>
      </c>
      <c r="X70">
        <f>2*(O70-G70)*(1-O70)*O70*F70</f>
        <v/>
      </c>
    </row>
    <row r="71" ht="14.25" customHeight="1" s="96">
      <c r="A71" s="114" t="n"/>
      <c r="B71" s="33" t="n">
        <v>67</v>
      </c>
      <c r="C71" s="4" t="n">
        <v>6.8</v>
      </c>
      <c r="D71" s="7" t="n">
        <v>2.8</v>
      </c>
      <c r="E71" s="7" t="n">
        <v>4.8</v>
      </c>
      <c r="F71" s="7" t="n">
        <v>1.4</v>
      </c>
      <c r="G71" s="45" t="n">
        <v>1</v>
      </c>
      <c r="I71" s="44">
        <f>I70-$K$2*T70</f>
        <v/>
      </c>
      <c r="J71" s="46">
        <f>J70-$K$2*U70</f>
        <v/>
      </c>
      <c r="K71" s="46">
        <f>K70-$K$2*V70</f>
        <v/>
      </c>
      <c r="L71" s="46">
        <f>L70-$K$2*W70</f>
        <v/>
      </c>
      <c r="M71" s="46">
        <f>M70-$K$2*X70</f>
        <v/>
      </c>
      <c r="N71" s="46">
        <f>I71+J71*C71+K71*D71+L71*E71+F71*M71</f>
        <v/>
      </c>
      <c r="O71" s="46">
        <f>1/(1+EXP(-N71))</f>
        <v/>
      </c>
      <c r="P71" s="47">
        <f>IF(O71&gt;0.5,1,0)</f>
        <v/>
      </c>
      <c r="Q71" s="47">
        <f>O71-G71</f>
        <v/>
      </c>
      <c r="R71" s="48">
        <f>Q71^2</f>
        <v/>
      </c>
      <c r="S71">
        <f>IF(P71=G71,1,0)</f>
        <v/>
      </c>
      <c r="T71">
        <f>2*(O71-G71)*(1-O71)*O71</f>
        <v/>
      </c>
      <c r="U71">
        <f>2*(O71-G71)*(1-O71)*O71*C71</f>
        <v/>
      </c>
      <c r="V71">
        <f>2*(O71-G71)*(1-O71)*O71*D71</f>
        <v/>
      </c>
      <c r="W71">
        <f>2*(O71-G71)*(1-O71)*O71*E71</f>
        <v/>
      </c>
      <c r="X71">
        <f>2*(O71-G71)*(1-O71)*O71*F71</f>
        <v/>
      </c>
    </row>
    <row r="72" ht="14.25" customHeight="1" s="96">
      <c r="A72" s="114" t="n"/>
      <c r="B72" s="44" t="n">
        <v>68</v>
      </c>
      <c r="C72" s="4" t="n">
        <v>6.7</v>
      </c>
      <c r="D72" s="7" t="n">
        <v>3</v>
      </c>
      <c r="E72" s="7" t="n">
        <v>5</v>
      </c>
      <c r="F72" s="7" t="n">
        <v>1.7</v>
      </c>
      <c r="G72" s="45" t="n">
        <v>1</v>
      </c>
      <c r="I72" s="44">
        <f>I71-$K$2*T71</f>
        <v/>
      </c>
      <c r="J72" s="46">
        <f>J71-$K$2*U71</f>
        <v/>
      </c>
      <c r="K72" s="46">
        <f>K71-$K$2*V71</f>
        <v/>
      </c>
      <c r="L72" s="46">
        <f>L71-$K$2*W71</f>
        <v/>
      </c>
      <c r="M72" s="46">
        <f>M71-$K$2*X71</f>
        <v/>
      </c>
      <c r="N72" s="46">
        <f>I72+J72*C72+K72*D72+L72*E72+F72*M72</f>
        <v/>
      </c>
      <c r="O72" s="46">
        <f>1/(1+EXP(-N72))</f>
        <v/>
      </c>
      <c r="P72" s="47">
        <f>IF(O72&gt;0.5,1,0)</f>
        <v/>
      </c>
      <c r="Q72" s="47">
        <f>O72-G72</f>
        <v/>
      </c>
      <c r="R72" s="48">
        <f>Q72^2</f>
        <v/>
      </c>
      <c r="S72">
        <f>IF(P72=G72,1,0)</f>
        <v/>
      </c>
      <c r="T72">
        <f>2*(O72-G72)*(1-O72)*O72</f>
        <v/>
      </c>
      <c r="U72">
        <f>2*(O72-G72)*(1-O72)*O72*C72</f>
        <v/>
      </c>
      <c r="V72">
        <f>2*(O72-G72)*(1-O72)*O72*D72</f>
        <v/>
      </c>
      <c r="W72">
        <f>2*(O72-G72)*(1-O72)*O72*E72</f>
        <v/>
      </c>
      <c r="X72">
        <f>2*(O72-G72)*(1-O72)*O72*F72</f>
        <v/>
      </c>
    </row>
    <row r="73" ht="14.25" customHeight="1" s="96">
      <c r="A73" s="114" t="n"/>
      <c r="B73" s="33" t="n">
        <v>69</v>
      </c>
      <c r="C73" s="4" t="n">
        <v>6</v>
      </c>
      <c r="D73" s="7" t="n">
        <v>2.9</v>
      </c>
      <c r="E73" s="7" t="n">
        <v>4.5</v>
      </c>
      <c r="F73" s="7" t="n">
        <v>1.5</v>
      </c>
      <c r="G73" s="45" t="n">
        <v>1</v>
      </c>
      <c r="I73" s="44">
        <f>I72-$K$2*T72</f>
        <v/>
      </c>
      <c r="J73" s="46">
        <f>J72-$K$2*U72</f>
        <v/>
      </c>
      <c r="K73" s="46">
        <f>K72-$K$2*V72</f>
        <v/>
      </c>
      <c r="L73" s="46">
        <f>L72-$K$2*W72</f>
        <v/>
      </c>
      <c r="M73" s="46">
        <f>M72-$K$2*X72</f>
        <v/>
      </c>
      <c r="N73" s="46">
        <f>I73+J73*C73+K73*D73+L73*E73+F73*M73</f>
        <v/>
      </c>
      <c r="O73" s="46">
        <f>1/(1+EXP(-N73))</f>
        <v/>
      </c>
      <c r="P73" s="47">
        <f>IF(O73&gt;0.5,1,0)</f>
        <v/>
      </c>
      <c r="Q73" s="47">
        <f>O73-G73</f>
        <v/>
      </c>
      <c r="R73" s="48">
        <f>Q73^2</f>
        <v/>
      </c>
      <c r="S73">
        <f>IF(P73=G73,1,0)</f>
        <v/>
      </c>
      <c r="T73">
        <f>2*(O73-G73)*(1-O73)*O73</f>
        <v/>
      </c>
      <c r="U73">
        <f>2*(O73-G73)*(1-O73)*O73*C73</f>
        <v/>
      </c>
      <c r="V73">
        <f>2*(O73-G73)*(1-O73)*O73*D73</f>
        <v/>
      </c>
      <c r="W73">
        <f>2*(O73-G73)*(1-O73)*O73*E73</f>
        <v/>
      </c>
      <c r="X73">
        <f>2*(O73-G73)*(1-O73)*O73*F73</f>
        <v/>
      </c>
    </row>
    <row r="74" ht="14.25" customHeight="1" s="96">
      <c r="A74" s="114" t="n"/>
      <c r="B74" s="44" t="n">
        <v>70</v>
      </c>
      <c r="C74" s="4" t="n">
        <v>5.7</v>
      </c>
      <c r="D74" s="7" t="n">
        <v>2.6</v>
      </c>
      <c r="E74" s="7" t="n">
        <v>3.5</v>
      </c>
      <c r="F74" s="7" t="n">
        <v>1</v>
      </c>
      <c r="G74" s="45" t="n">
        <v>1</v>
      </c>
      <c r="I74" s="44">
        <f>I73-$K$2*T73</f>
        <v/>
      </c>
      <c r="J74" s="46">
        <f>J73-$K$2*U73</f>
        <v/>
      </c>
      <c r="K74" s="46">
        <f>K73-$K$2*V73</f>
        <v/>
      </c>
      <c r="L74" s="46">
        <f>L73-$K$2*W73</f>
        <v/>
      </c>
      <c r="M74" s="46">
        <f>M73-$K$2*X73</f>
        <v/>
      </c>
      <c r="N74" s="46">
        <f>I74+J74*C74+K74*D74+L74*E74+F74*M74</f>
        <v/>
      </c>
      <c r="O74" s="46">
        <f>1/(1+EXP(-N74))</f>
        <v/>
      </c>
      <c r="P74" s="47">
        <f>IF(O74&gt;0.5,1,0)</f>
        <v/>
      </c>
      <c r="Q74" s="47">
        <f>O74-G74</f>
        <v/>
      </c>
      <c r="R74" s="48">
        <f>Q74^2</f>
        <v/>
      </c>
      <c r="S74">
        <f>IF(P74=G74,1,0)</f>
        <v/>
      </c>
      <c r="T74">
        <f>2*(O74-G74)*(1-O74)*O74</f>
        <v/>
      </c>
      <c r="U74">
        <f>2*(O74-G74)*(1-O74)*O74*C74</f>
        <v/>
      </c>
      <c r="V74">
        <f>2*(O74-G74)*(1-O74)*O74*D74</f>
        <v/>
      </c>
      <c r="W74">
        <f>2*(O74-G74)*(1-O74)*O74*E74</f>
        <v/>
      </c>
      <c r="X74">
        <f>2*(O74-G74)*(1-O74)*O74*F74</f>
        <v/>
      </c>
    </row>
    <row r="75" ht="14.25" customHeight="1" s="96">
      <c r="A75" s="114" t="n"/>
      <c r="B75" s="33" t="n">
        <v>71</v>
      </c>
      <c r="C75" s="4" t="n">
        <v>5.5</v>
      </c>
      <c r="D75" s="7" t="n">
        <v>2.4</v>
      </c>
      <c r="E75" s="7" t="n">
        <v>3.8</v>
      </c>
      <c r="F75" s="7" t="n">
        <v>1.1</v>
      </c>
      <c r="G75" s="45" t="n">
        <v>1</v>
      </c>
      <c r="I75" s="44">
        <f>I74-$K$2*T74</f>
        <v/>
      </c>
      <c r="J75" s="46">
        <f>J74-$K$2*U74</f>
        <v/>
      </c>
      <c r="K75" s="46">
        <f>K74-$K$2*V74</f>
        <v/>
      </c>
      <c r="L75" s="46">
        <f>L74-$K$2*W74</f>
        <v/>
      </c>
      <c r="M75" s="46">
        <f>M74-$K$2*X74</f>
        <v/>
      </c>
      <c r="N75" s="46">
        <f>I75+J75*C75+K75*D75+L75*E75+F75*M75</f>
        <v/>
      </c>
      <c r="O75" s="46">
        <f>1/(1+EXP(-N75))</f>
        <v/>
      </c>
      <c r="P75" s="47">
        <f>IF(O75&gt;0.5,1,0)</f>
        <v/>
      </c>
      <c r="Q75" s="47">
        <f>O75-G75</f>
        <v/>
      </c>
      <c r="R75" s="48">
        <f>Q75^2</f>
        <v/>
      </c>
      <c r="S75">
        <f>IF(P75=G75,1,0)</f>
        <v/>
      </c>
      <c r="T75">
        <f>2*(O75-G75)*(1-O75)*O75</f>
        <v/>
      </c>
      <c r="U75">
        <f>2*(O75-G75)*(1-O75)*O75*C75</f>
        <v/>
      </c>
      <c r="V75">
        <f>2*(O75-G75)*(1-O75)*O75*D75</f>
        <v/>
      </c>
      <c r="W75">
        <f>2*(O75-G75)*(1-O75)*O75*E75</f>
        <v/>
      </c>
      <c r="X75">
        <f>2*(O75-G75)*(1-O75)*O75*F75</f>
        <v/>
      </c>
    </row>
    <row r="76" ht="14.25" customHeight="1" s="96">
      <c r="A76" s="114" t="n"/>
      <c r="B76" s="44" t="n">
        <v>72</v>
      </c>
      <c r="C76" s="4" t="n">
        <v>5.5</v>
      </c>
      <c r="D76" s="7" t="n">
        <v>2.4</v>
      </c>
      <c r="E76" s="7" t="n">
        <v>3.7</v>
      </c>
      <c r="F76" s="7" t="n">
        <v>1</v>
      </c>
      <c r="G76" s="45" t="n">
        <v>1</v>
      </c>
      <c r="I76" s="44">
        <f>I75-$K$2*T75</f>
        <v/>
      </c>
      <c r="J76" s="46">
        <f>J75-$K$2*U75</f>
        <v/>
      </c>
      <c r="K76" s="46">
        <f>K75-$K$2*V75</f>
        <v/>
      </c>
      <c r="L76" s="46">
        <f>L75-$K$2*W75</f>
        <v/>
      </c>
      <c r="M76" s="46">
        <f>M75-$K$2*X75</f>
        <v/>
      </c>
      <c r="N76" s="46">
        <f>I76+J76*C76+K76*D76+L76*E76+F76*M76</f>
        <v/>
      </c>
      <c r="O76" s="46">
        <f>1/(1+EXP(-N76))</f>
        <v/>
      </c>
      <c r="P76" s="47">
        <f>IF(O76&gt;0.5,1,0)</f>
        <v/>
      </c>
      <c r="Q76" s="47">
        <f>O76-G76</f>
        <v/>
      </c>
      <c r="R76" s="48">
        <f>Q76^2</f>
        <v/>
      </c>
      <c r="S76">
        <f>IF(P76=G76,1,0)</f>
        <v/>
      </c>
      <c r="T76">
        <f>2*(O76-G76)*(1-O76)*O76</f>
        <v/>
      </c>
      <c r="U76">
        <f>2*(O76-G76)*(1-O76)*O76*C76</f>
        <v/>
      </c>
      <c r="V76">
        <f>2*(O76-G76)*(1-O76)*O76*D76</f>
        <v/>
      </c>
      <c r="W76">
        <f>2*(O76-G76)*(1-O76)*O76*E76</f>
        <v/>
      </c>
      <c r="X76">
        <f>2*(O76-G76)*(1-O76)*O76*F76</f>
        <v/>
      </c>
    </row>
    <row r="77" ht="14.25" customHeight="1" s="96">
      <c r="A77" s="114" t="n"/>
      <c r="B77" s="33" t="n">
        <v>73</v>
      </c>
      <c r="C77" s="4" t="n">
        <v>5.8</v>
      </c>
      <c r="D77" s="7" t="n">
        <v>2.7</v>
      </c>
      <c r="E77" s="7" t="n">
        <v>3.9</v>
      </c>
      <c r="F77" s="7" t="n">
        <v>1.2</v>
      </c>
      <c r="G77" s="45" t="n">
        <v>1</v>
      </c>
      <c r="I77" s="44">
        <f>I76-$K$2*T76</f>
        <v/>
      </c>
      <c r="J77" s="46">
        <f>J76-$K$2*U76</f>
        <v/>
      </c>
      <c r="K77" s="46">
        <f>K76-$K$2*V76</f>
        <v/>
      </c>
      <c r="L77" s="46">
        <f>L76-$K$2*W76</f>
        <v/>
      </c>
      <c r="M77" s="46">
        <f>M76-$K$2*X76</f>
        <v/>
      </c>
      <c r="N77" s="46">
        <f>I77+J77*C77+K77*D77+L77*E77+F77*M77</f>
        <v/>
      </c>
      <c r="O77" s="46">
        <f>1/(1+EXP(-N77))</f>
        <v/>
      </c>
      <c r="P77" s="47">
        <f>IF(O77&gt;0.5,1,0)</f>
        <v/>
      </c>
      <c r="Q77" s="47">
        <f>O77-G77</f>
        <v/>
      </c>
      <c r="R77" s="48">
        <f>Q77^2</f>
        <v/>
      </c>
      <c r="S77">
        <f>IF(P77=G77,1,0)</f>
        <v/>
      </c>
      <c r="T77">
        <f>2*(O77-G77)*(1-O77)*O77</f>
        <v/>
      </c>
      <c r="U77">
        <f>2*(O77-G77)*(1-O77)*O77*C77</f>
        <v/>
      </c>
      <c r="V77">
        <f>2*(O77-G77)*(1-O77)*O77*D77</f>
        <v/>
      </c>
      <c r="W77">
        <f>2*(O77-G77)*(1-O77)*O77*E77</f>
        <v/>
      </c>
      <c r="X77">
        <f>2*(O77-G77)*(1-O77)*O77*F77</f>
        <v/>
      </c>
    </row>
    <row r="78" ht="14.25" customHeight="1" s="96">
      <c r="A78" s="114" t="n"/>
      <c r="B78" s="44" t="n">
        <v>74</v>
      </c>
      <c r="C78" s="4" t="n">
        <v>6</v>
      </c>
      <c r="D78" s="7" t="n">
        <v>2.7</v>
      </c>
      <c r="E78" s="7" t="n">
        <v>5.1</v>
      </c>
      <c r="F78" s="7" t="n">
        <v>1.6</v>
      </c>
      <c r="G78" s="45" t="n">
        <v>1</v>
      </c>
      <c r="I78" s="44">
        <f>I77-$K$2*T77</f>
        <v/>
      </c>
      <c r="J78" s="46">
        <f>J77-$K$2*U77</f>
        <v/>
      </c>
      <c r="K78" s="46">
        <f>K77-$K$2*V77</f>
        <v/>
      </c>
      <c r="L78" s="46">
        <f>L77-$K$2*W77</f>
        <v/>
      </c>
      <c r="M78" s="46">
        <f>M77-$K$2*X77</f>
        <v/>
      </c>
      <c r="N78" s="46">
        <f>I78+J78*C78+K78*D78+L78*E78+F78*M78</f>
        <v/>
      </c>
      <c r="O78" s="46">
        <f>1/(1+EXP(-N78))</f>
        <v/>
      </c>
      <c r="P78" s="47">
        <f>IF(O78&gt;0.5,1,0)</f>
        <v/>
      </c>
      <c r="Q78" s="47">
        <f>O78-G78</f>
        <v/>
      </c>
      <c r="R78" s="48">
        <f>Q78^2</f>
        <v/>
      </c>
      <c r="S78">
        <f>IF(P78=G78,1,0)</f>
        <v/>
      </c>
      <c r="T78">
        <f>2*(O78-G78)*(1-O78)*O78</f>
        <v/>
      </c>
      <c r="U78">
        <f>2*(O78-G78)*(1-O78)*O78*C78</f>
        <v/>
      </c>
      <c r="V78">
        <f>2*(O78-G78)*(1-O78)*O78*D78</f>
        <v/>
      </c>
      <c r="W78">
        <f>2*(O78-G78)*(1-O78)*O78*E78</f>
        <v/>
      </c>
      <c r="X78">
        <f>2*(O78-G78)*(1-O78)*O78*F78</f>
        <v/>
      </c>
    </row>
    <row r="79" ht="14.25" customHeight="1" s="96">
      <c r="A79" s="114" t="n"/>
      <c r="B79" s="33" t="n">
        <v>75</v>
      </c>
      <c r="C79" s="4" t="n">
        <v>5.4</v>
      </c>
      <c r="D79" s="7" t="n">
        <v>3</v>
      </c>
      <c r="E79" s="7" t="n">
        <v>4.5</v>
      </c>
      <c r="F79" s="7" t="n">
        <v>1.5</v>
      </c>
      <c r="G79" s="45" t="n">
        <v>1</v>
      </c>
      <c r="I79" s="44">
        <f>I78-$K$2*T78</f>
        <v/>
      </c>
      <c r="J79" s="46">
        <f>J78-$K$2*U78</f>
        <v/>
      </c>
      <c r="K79" s="46">
        <f>K78-$K$2*V78</f>
        <v/>
      </c>
      <c r="L79" s="46">
        <f>L78-$K$2*W78</f>
        <v/>
      </c>
      <c r="M79" s="46">
        <f>M78-$K$2*X78</f>
        <v/>
      </c>
      <c r="N79" s="46">
        <f>I79+J79*C79+K79*D79+L79*E79+F79*M79</f>
        <v/>
      </c>
      <c r="O79" s="46">
        <f>1/(1+EXP(-N79))</f>
        <v/>
      </c>
      <c r="P79" s="47">
        <f>IF(O79&gt;0.5,1,0)</f>
        <v/>
      </c>
      <c r="Q79" s="47">
        <f>O79-G79</f>
        <v/>
      </c>
      <c r="R79" s="48">
        <f>Q79^2</f>
        <v/>
      </c>
      <c r="S79">
        <f>IF(P79=G79,1,0)</f>
        <v/>
      </c>
      <c r="T79">
        <f>2*(O79-G79)*(1-O79)*O79</f>
        <v/>
      </c>
      <c r="U79">
        <f>2*(O79-G79)*(1-O79)*O79*C79</f>
        <v/>
      </c>
      <c r="V79">
        <f>2*(O79-G79)*(1-O79)*O79*D79</f>
        <v/>
      </c>
      <c r="W79">
        <f>2*(O79-G79)*(1-O79)*O79*E79</f>
        <v/>
      </c>
      <c r="X79">
        <f>2*(O79-G79)*(1-O79)*O79*F79</f>
        <v/>
      </c>
    </row>
    <row r="80" ht="14.25" customHeight="1" s="96">
      <c r="A80" s="114" t="n"/>
      <c r="B80" s="44" t="n">
        <v>76</v>
      </c>
      <c r="C80" s="4" t="n">
        <v>6</v>
      </c>
      <c r="D80" s="7" t="n">
        <v>3.4</v>
      </c>
      <c r="E80" s="7" t="n">
        <v>4.5</v>
      </c>
      <c r="F80" s="7" t="n">
        <v>1.6</v>
      </c>
      <c r="G80" s="45" t="n">
        <v>1</v>
      </c>
      <c r="I80" s="44">
        <f>I79-$K$2*T79</f>
        <v/>
      </c>
      <c r="J80" s="46">
        <f>J79-$K$2*U79</f>
        <v/>
      </c>
      <c r="K80" s="46">
        <f>K79-$K$2*V79</f>
        <v/>
      </c>
      <c r="L80" s="46">
        <f>L79-$K$2*W79</f>
        <v/>
      </c>
      <c r="M80" s="46">
        <f>M79-$K$2*X79</f>
        <v/>
      </c>
      <c r="N80" s="46">
        <f>I80+J80*C80+K80*D80+L80*E80+F80*M80</f>
        <v/>
      </c>
      <c r="O80" s="46">
        <f>1/(1+EXP(-N80))</f>
        <v/>
      </c>
      <c r="P80" s="47">
        <f>IF(O80&gt;0.5,1,0)</f>
        <v/>
      </c>
      <c r="Q80" s="47">
        <f>O80-G80</f>
        <v/>
      </c>
      <c r="R80" s="48">
        <f>Q80^2</f>
        <v/>
      </c>
      <c r="S80">
        <f>IF(P80=G80,1,0)</f>
        <v/>
      </c>
      <c r="T80">
        <f>2*(O80-G80)*(1-O80)*O80</f>
        <v/>
      </c>
      <c r="U80">
        <f>2*(O80-G80)*(1-O80)*O80*C80</f>
        <v/>
      </c>
      <c r="V80">
        <f>2*(O80-G80)*(1-O80)*O80*D80</f>
        <v/>
      </c>
      <c r="W80">
        <f>2*(O80-G80)*(1-O80)*O80*E80</f>
        <v/>
      </c>
      <c r="X80">
        <f>2*(O80-G80)*(1-O80)*O80*F80</f>
        <v/>
      </c>
    </row>
    <row r="81" ht="14.25" customHeight="1" s="96">
      <c r="A81" s="114" t="n"/>
      <c r="B81" s="33" t="n">
        <v>77</v>
      </c>
      <c r="C81" s="4" t="n">
        <v>6.7</v>
      </c>
      <c r="D81" s="7" t="n">
        <v>3.1</v>
      </c>
      <c r="E81" s="7" t="n">
        <v>4.7</v>
      </c>
      <c r="F81" s="7" t="n">
        <v>1.5</v>
      </c>
      <c r="G81" s="45" t="n">
        <v>1</v>
      </c>
      <c r="I81" s="44">
        <f>I80-$K$2*T80</f>
        <v/>
      </c>
      <c r="J81" s="46">
        <f>J80-$K$2*U80</f>
        <v/>
      </c>
      <c r="K81" s="46">
        <f>K80-$K$2*V80</f>
        <v/>
      </c>
      <c r="L81" s="46">
        <f>L80-$K$2*W80</f>
        <v/>
      </c>
      <c r="M81" s="46">
        <f>M80-$K$2*X80</f>
        <v/>
      </c>
      <c r="N81" s="46">
        <f>I81+J81*C81+K81*D81+L81*E81+F81*M81</f>
        <v/>
      </c>
      <c r="O81" s="46">
        <f>1/(1+EXP(-N81))</f>
        <v/>
      </c>
      <c r="P81" s="47">
        <f>IF(O81&gt;0.5,1,0)</f>
        <v/>
      </c>
      <c r="Q81" s="47">
        <f>O81-G81</f>
        <v/>
      </c>
      <c r="R81" s="48">
        <f>Q81^2</f>
        <v/>
      </c>
      <c r="S81">
        <f>IF(P81=G81,1,0)</f>
        <v/>
      </c>
      <c r="T81">
        <f>2*(O81-G81)*(1-O81)*O81</f>
        <v/>
      </c>
      <c r="U81">
        <f>2*(O81-G81)*(1-O81)*O81*C81</f>
        <v/>
      </c>
      <c r="V81">
        <f>2*(O81-G81)*(1-O81)*O81*D81</f>
        <v/>
      </c>
      <c r="W81">
        <f>2*(O81-G81)*(1-O81)*O81*E81</f>
        <v/>
      </c>
      <c r="X81">
        <f>2*(O81-G81)*(1-O81)*O81*F81</f>
        <v/>
      </c>
    </row>
    <row r="82" ht="14.25" customHeight="1" s="96">
      <c r="A82" s="114" t="n"/>
      <c r="B82" s="44" t="n">
        <v>78</v>
      </c>
      <c r="C82" s="4" t="n">
        <v>6.3</v>
      </c>
      <c r="D82" s="7" t="n">
        <v>2.3</v>
      </c>
      <c r="E82" s="7" t="n">
        <v>4.4</v>
      </c>
      <c r="F82" s="7" t="n">
        <v>1.3</v>
      </c>
      <c r="G82" s="45" t="n">
        <v>1</v>
      </c>
      <c r="I82" s="44">
        <f>I81-$K$2*T81</f>
        <v/>
      </c>
      <c r="J82" s="46">
        <f>J81-$K$2*U81</f>
        <v/>
      </c>
      <c r="K82" s="46">
        <f>K81-$K$2*V81</f>
        <v/>
      </c>
      <c r="L82" s="46">
        <f>L81-$K$2*W81</f>
        <v/>
      </c>
      <c r="M82" s="46">
        <f>M81-$K$2*X81</f>
        <v/>
      </c>
      <c r="N82" s="46">
        <f>I82+J82*C82+K82*D82+L82*E82+F82*M82</f>
        <v/>
      </c>
      <c r="O82" s="46">
        <f>1/(1+EXP(-N82))</f>
        <v/>
      </c>
      <c r="P82" s="47">
        <f>IF(O82&gt;0.5,1,0)</f>
        <v/>
      </c>
      <c r="Q82" s="47">
        <f>O82-G82</f>
        <v/>
      </c>
      <c r="R82" s="48">
        <f>Q82^2</f>
        <v/>
      </c>
      <c r="S82">
        <f>IF(P82=G82,1,0)</f>
        <v/>
      </c>
      <c r="T82">
        <f>2*(O82-G82)*(1-O82)*O82</f>
        <v/>
      </c>
      <c r="U82">
        <f>2*(O82-G82)*(1-O82)*O82*C82</f>
        <v/>
      </c>
      <c r="V82">
        <f>2*(O82-G82)*(1-O82)*O82*D82</f>
        <v/>
      </c>
      <c r="W82">
        <f>2*(O82-G82)*(1-O82)*O82*E82</f>
        <v/>
      </c>
      <c r="X82">
        <f>2*(O82-G82)*(1-O82)*O82*F82</f>
        <v/>
      </c>
    </row>
    <row r="83" ht="14.25" customHeight="1" s="96">
      <c r="A83" s="114" t="n"/>
      <c r="B83" s="33" t="n">
        <v>79</v>
      </c>
      <c r="C83" s="4" t="n">
        <v>5.6</v>
      </c>
      <c r="D83" s="7" t="n">
        <v>3</v>
      </c>
      <c r="E83" s="7" t="n">
        <v>4.1</v>
      </c>
      <c r="F83" s="7" t="n">
        <v>1.3</v>
      </c>
      <c r="G83" s="45" t="n">
        <v>1</v>
      </c>
      <c r="I83" s="44">
        <f>I82-$K$2*T82</f>
        <v/>
      </c>
      <c r="J83" s="46">
        <f>J82-$K$2*U82</f>
        <v/>
      </c>
      <c r="K83" s="46">
        <f>K82-$K$2*V82</f>
        <v/>
      </c>
      <c r="L83" s="46">
        <f>L82-$K$2*W82</f>
        <v/>
      </c>
      <c r="M83" s="46">
        <f>M82-$K$2*X82</f>
        <v/>
      </c>
      <c r="N83" s="46">
        <f>I83+J83*C83+K83*D83+L83*E83+F83*M83</f>
        <v/>
      </c>
      <c r="O83" s="46">
        <f>1/(1+EXP(-N83))</f>
        <v/>
      </c>
      <c r="P83" s="47">
        <f>IF(O83&gt;0.5,1,0)</f>
        <v/>
      </c>
      <c r="Q83" s="47">
        <f>O83-G83</f>
        <v/>
      </c>
      <c r="R83" s="48">
        <f>Q83^2</f>
        <v/>
      </c>
      <c r="S83">
        <f>IF(P83=G83,1,0)</f>
        <v/>
      </c>
      <c r="T83">
        <f>2*(O83-G83)*(1-O83)*O83</f>
        <v/>
      </c>
      <c r="U83">
        <f>2*(O83-G83)*(1-O83)*O83*C83</f>
        <v/>
      </c>
      <c r="V83">
        <f>2*(O83-G83)*(1-O83)*O83*D83</f>
        <v/>
      </c>
      <c r="W83">
        <f>2*(O83-G83)*(1-O83)*O83*E83</f>
        <v/>
      </c>
      <c r="X83">
        <f>2*(O83-G83)*(1-O83)*O83*F83</f>
        <v/>
      </c>
    </row>
    <row r="84" ht="14.25" customHeight="1" s="96">
      <c r="A84" s="114" t="n"/>
      <c r="B84" s="44" t="n">
        <v>80</v>
      </c>
      <c r="C84" s="4" t="n">
        <v>5.5</v>
      </c>
      <c r="D84" s="7" t="n">
        <v>2.5</v>
      </c>
      <c r="E84" s="7" t="n">
        <v>4</v>
      </c>
      <c r="F84" s="7" t="n">
        <v>1.3</v>
      </c>
      <c r="G84" s="45" t="n">
        <v>1</v>
      </c>
      <c r="I84" s="44">
        <f>I83-$K$2*T83</f>
        <v/>
      </c>
      <c r="J84" s="46">
        <f>J83-$K$2*U83</f>
        <v/>
      </c>
      <c r="K84" s="46">
        <f>K83-$K$2*V83</f>
        <v/>
      </c>
      <c r="L84" s="46">
        <f>L83-$K$2*W83</f>
        <v/>
      </c>
      <c r="M84" s="46">
        <f>M83-$K$2*X83</f>
        <v/>
      </c>
      <c r="N84" s="46">
        <f>I84+J84*C84+K84*D84+L84*E84+F84*M84</f>
        <v/>
      </c>
      <c r="O84" s="46">
        <f>1/(1+EXP(-N84))</f>
        <v/>
      </c>
      <c r="P84" s="47">
        <f>IF(O84&gt;0.5,1,0)</f>
        <v/>
      </c>
      <c r="Q84" s="47">
        <f>O84-G84</f>
        <v/>
      </c>
      <c r="R84" s="48">
        <f>Q84^2</f>
        <v/>
      </c>
      <c r="S84" s="72">
        <f>IF(P84=G84,1,0)</f>
        <v/>
      </c>
      <c r="T84">
        <f>2*(O84-G84)*(1-O84)*O84</f>
        <v/>
      </c>
      <c r="U84">
        <f>2*(O84-G84)*(1-O84)*O84*C84</f>
        <v/>
      </c>
      <c r="V84">
        <f>2*(O84-G84)*(1-O84)*O84*D84</f>
        <v/>
      </c>
      <c r="W84">
        <f>2*(O84-G84)*(1-O84)*O84*E84</f>
        <v/>
      </c>
      <c r="X84">
        <f>2*(O84-G84)*(1-O84)*O84*F84</f>
        <v/>
      </c>
    </row>
    <row r="85" ht="14.25" customHeight="1" s="96">
      <c r="A85" s="116" t="inlineStr">
        <is>
          <t>epoch 2</t>
        </is>
      </c>
      <c r="B85" s="60" t="n">
        <v>1</v>
      </c>
      <c r="C85" s="76" t="n">
        <v>5.1</v>
      </c>
      <c r="D85" s="61" t="n">
        <v>3.5</v>
      </c>
      <c r="E85" s="61" t="n">
        <v>1.4</v>
      </c>
      <c r="F85" s="61" t="n">
        <v>0.2</v>
      </c>
      <c r="G85" s="77" t="n">
        <v>0</v>
      </c>
      <c r="I85" s="60">
        <f>I84-$K$2*T84</f>
        <v/>
      </c>
      <c r="J85" s="61">
        <f>J84-$K$2*U84</f>
        <v/>
      </c>
      <c r="K85" s="61">
        <f>K84-$K$2*V84</f>
        <v/>
      </c>
      <c r="L85" s="61">
        <f>L84-$K$2*W84</f>
        <v/>
      </c>
      <c r="M85" s="61">
        <f>M84-$K$2*X84</f>
        <v/>
      </c>
      <c r="N85" s="61">
        <f>I85+J85*C85+K85*D85+L85*E85+F85*M85</f>
        <v/>
      </c>
      <c r="O85" s="61">
        <f>1/(1+EXP(-N85))</f>
        <v/>
      </c>
      <c r="P85" s="62">
        <f>IF(O85&gt;0.5,1,0)</f>
        <v/>
      </c>
      <c r="Q85" s="62">
        <f>O85-G85</f>
        <v/>
      </c>
      <c r="R85" s="63">
        <f>Q85^2</f>
        <v/>
      </c>
      <c r="S85">
        <f>IF(P85=G85,1,0)</f>
        <v/>
      </c>
      <c r="T85">
        <f>2*(O85-G85)*(1-O85)*O85</f>
        <v/>
      </c>
      <c r="U85">
        <f>2*(O85-G85)*(1-O85)*O85*C85</f>
        <v/>
      </c>
      <c r="V85">
        <f>2*(O85-G85)*(1-O85)*O85*D85</f>
        <v/>
      </c>
      <c r="W85">
        <f>2*(O85-G85)*(1-O85)*O85*E85</f>
        <v/>
      </c>
      <c r="X85">
        <f>2*(O85-G85)*(1-O85)*O85*F85</f>
        <v/>
      </c>
    </row>
    <row r="86" ht="14.25" customHeight="1" s="96">
      <c r="A86" s="117" t="n"/>
      <c r="B86" s="66" t="n">
        <v>2</v>
      </c>
      <c r="C86" s="79" t="n">
        <v>4.9</v>
      </c>
      <c r="D86" s="67" t="n">
        <v>3</v>
      </c>
      <c r="E86" s="67" t="n">
        <v>1.4</v>
      </c>
      <c r="F86" s="67" t="n">
        <v>0.2</v>
      </c>
      <c r="G86" s="80" t="n">
        <v>0</v>
      </c>
      <c r="I86" s="66">
        <f>I85-$K$2*T85</f>
        <v/>
      </c>
      <c r="J86" s="67">
        <f>J85-$K$2*U85</f>
        <v/>
      </c>
      <c r="K86" s="67">
        <f>K85-$K$2*V85</f>
        <v/>
      </c>
      <c r="L86" s="67">
        <f>L85-$K$2*W85</f>
        <v/>
      </c>
      <c r="M86" s="67">
        <f>M85-$K$2*X85</f>
        <v/>
      </c>
      <c r="N86" s="67">
        <f>I86+J86*C86+K86*D86+L86*E86+F86*M86</f>
        <v/>
      </c>
      <c r="O86" s="67">
        <f>1/(1+EXP(-N86))</f>
        <v/>
      </c>
      <c r="P86" s="68">
        <f>IF(O86&gt;0.5,1,0)</f>
        <v/>
      </c>
      <c r="Q86" s="68">
        <f>O86-G86</f>
        <v/>
      </c>
      <c r="R86" s="69">
        <f>Q86^2</f>
        <v/>
      </c>
      <c r="S86">
        <f>IF(P86=G86,1,0)</f>
        <v/>
      </c>
      <c r="T86">
        <f>2*(O86-G86)*(1-O86)*O86</f>
        <v/>
      </c>
      <c r="U86">
        <f>2*(O86-G86)*(1-O86)*O86*C86</f>
        <v/>
      </c>
      <c r="V86">
        <f>2*(O86-G86)*(1-O86)*O86*D86</f>
        <v/>
      </c>
      <c r="W86">
        <f>2*(O86-G86)*(1-O86)*O86*E86</f>
        <v/>
      </c>
      <c r="X86">
        <f>2*(O86-G86)*(1-O86)*O86*F86</f>
        <v/>
      </c>
    </row>
    <row r="87" ht="14.25" customHeight="1" s="96">
      <c r="A87" s="117" t="n"/>
      <c r="B87" s="66" t="n">
        <v>3</v>
      </c>
      <c r="C87" s="79" t="n">
        <v>4.7</v>
      </c>
      <c r="D87" s="67" t="n">
        <v>3.2</v>
      </c>
      <c r="E87" s="67" t="n">
        <v>1.3</v>
      </c>
      <c r="F87" s="67" t="n">
        <v>0.2</v>
      </c>
      <c r="G87" s="80" t="n">
        <v>0</v>
      </c>
      <c r="I87" s="66">
        <f>I86-$K$2*T86</f>
        <v/>
      </c>
      <c r="J87" s="67">
        <f>J86-$K$2*U86</f>
        <v/>
      </c>
      <c r="K87" s="67">
        <f>K86-$K$2*V86</f>
        <v/>
      </c>
      <c r="L87" s="67">
        <f>L86-$K$2*W86</f>
        <v/>
      </c>
      <c r="M87" s="67">
        <f>M86-$K$2*X86</f>
        <v/>
      </c>
      <c r="N87" s="67">
        <f>I87+J87*C87+K87*D87+L87*E87+F87*M87</f>
        <v/>
      </c>
      <c r="O87" s="67">
        <f>1/(1+EXP(-N87))</f>
        <v/>
      </c>
      <c r="P87" s="68">
        <f>IF(O87&gt;0.5,1,0)</f>
        <v/>
      </c>
      <c r="Q87" s="68">
        <f>O87-G87</f>
        <v/>
      </c>
      <c r="R87" s="69">
        <f>Q87^2</f>
        <v/>
      </c>
      <c r="S87">
        <f>IF(P87=G87,1,0)</f>
        <v/>
      </c>
      <c r="T87">
        <f>2*(O87-G87)*(1-O87)*O87</f>
        <v/>
      </c>
      <c r="U87">
        <f>2*(O87-G87)*(1-O87)*O87*C87</f>
        <v/>
      </c>
      <c r="V87">
        <f>2*(O87-G87)*(1-O87)*O87*D87</f>
        <v/>
      </c>
      <c r="W87">
        <f>2*(O87-G87)*(1-O87)*O87*E87</f>
        <v/>
      </c>
      <c r="X87">
        <f>2*(O87-G87)*(1-O87)*O87*F87</f>
        <v/>
      </c>
    </row>
    <row r="88" ht="14.25" customHeight="1" s="96">
      <c r="A88" s="117" t="n"/>
      <c r="B88" s="66" t="n">
        <v>4</v>
      </c>
      <c r="C88" s="79" t="n">
        <v>4.6</v>
      </c>
      <c r="D88" s="67" t="n">
        <v>3.1</v>
      </c>
      <c r="E88" s="67" t="n">
        <v>1.5</v>
      </c>
      <c r="F88" s="67" t="n">
        <v>0.2</v>
      </c>
      <c r="G88" s="80" t="n">
        <v>0</v>
      </c>
      <c r="I88" s="66">
        <f>I87-$K$2*T87</f>
        <v/>
      </c>
      <c r="J88" s="67">
        <f>J87-$K$2*U87</f>
        <v/>
      </c>
      <c r="K88" s="67">
        <f>K87-$K$2*V87</f>
        <v/>
      </c>
      <c r="L88" s="67">
        <f>L87-$K$2*W87</f>
        <v/>
      </c>
      <c r="M88" s="67">
        <f>M87-$K$2*X87</f>
        <v/>
      </c>
      <c r="N88" s="67">
        <f>I88+J88*C88+K88*D88+L88*E88+F88*M88</f>
        <v/>
      </c>
      <c r="O88" s="67">
        <f>1/(1+EXP(-N88))</f>
        <v/>
      </c>
      <c r="P88" s="68">
        <f>IF(O88&gt;0.5,1,0)</f>
        <v/>
      </c>
      <c r="Q88" s="68">
        <f>O88-G88</f>
        <v/>
      </c>
      <c r="R88" s="69">
        <f>Q88^2</f>
        <v/>
      </c>
      <c r="S88">
        <f>IF(P88=G88,1,0)</f>
        <v/>
      </c>
      <c r="T88">
        <f>2*(O88-G88)*(1-O88)*O88</f>
        <v/>
      </c>
      <c r="U88">
        <f>2*(O88-G88)*(1-O88)*O88*C88</f>
        <v/>
      </c>
      <c r="V88">
        <f>2*(O88-G88)*(1-O88)*O88*D88</f>
        <v/>
      </c>
      <c r="W88">
        <f>2*(O88-G88)*(1-O88)*O88*E88</f>
        <v/>
      </c>
      <c r="X88">
        <f>2*(O88-G88)*(1-O88)*O88*F88</f>
        <v/>
      </c>
    </row>
    <row r="89" ht="14.25" customHeight="1" s="96">
      <c r="A89" s="117" t="n"/>
      <c r="B89" s="66" t="n">
        <v>5</v>
      </c>
      <c r="C89" s="79" t="n">
        <v>5</v>
      </c>
      <c r="D89" s="67" t="n">
        <v>3.6</v>
      </c>
      <c r="E89" s="67" t="n">
        <v>1.4</v>
      </c>
      <c r="F89" s="67" t="n">
        <v>0.2</v>
      </c>
      <c r="G89" s="80" t="n">
        <v>0</v>
      </c>
      <c r="I89" s="66">
        <f>I88-$K$2*T88</f>
        <v/>
      </c>
      <c r="J89" s="67">
        <f>J88-$K$2*U88</f>
        <v/>
      </c>
      <c r="K89" s="67">
        <f>K88-$K$2*V88</f>
        <v/>
      </c>
      <c r="L89" s="67">
        <f>L88-$K$2*W88</f>
        <v/>
      </c>
      <c r="M89" s="67">
        <f>M88-$K$2*X88</f>
        <v/>
      </c>
      <c r="N89" s="67">
        <f>I89+J89*C89+K89*D89+L89*E89+F89*M89</f>
        <v/>
      </c>
      <c r="O89" s="67">
        <f>1/(1+EXP(-N89))</f>
        <v/>
      </c>
      <c r="P89" s="68">
        <f>IF(O89&gt;0.5,1,0)</f>
        <v/>
      </c>
      <c r="Q89" s="68">
        <f>O89-G89</f>
        <v/>
      </c>
      <c r="R89" s="69">
        <f>Q89^2</f>
        <v/>
      </c>
      <c r="S89">
        <f>IF(P89=G89,1,0)</f>
        <v/>
      </c>
      <c r="T89">
        <f>2*(O89-G89)*(1-O89)*O89</f>
        <v/>
      </c>
      <c r="U89">
        <f>2*(O89-G89)*(1-O89)*O89*C89</f>
        <v/>
      </c>
      <c r="V89">
        <f>2*(O89-G89)*(1-O89)*O89*D89</f>
        <v/>
      </c>
      <c r="W89">
        <f>2*(O89-G89)*(1-O89)*O89*E89</f>
        <v/>
      </c>
      <c r="X89">
        <f>2*(O89-G89)*(1-O89)*O89*F89</f>
        <v/>
      </c>
    </row>
    <row r="90" ht="14.25" customHeight="1" s="96">
      <c r="A90" s="117" t="n"/>
      <c r="B90" s="66" t="n">
        <v>6</v>
      </c>
      <c r="C90" s="79" t="n">
        <v>5.4</v>
      </c>
      <c r="D90" s="67" t="n">
        <v>3.9</v>
      </c>
      <c r="E90" s="67" t="n">
        <v>1.7</v>
      </c>
      <c r="F90" s="67" t="n">
        <v>0.4</v>
      </c>
      <c r="G90" s="80" t="n">
        <v>0</v>
      </c>
      <c r="I90" s="66">
        <f>I89-$K$2*T89</f>
        <v/>
      </c>
      <c r="J90" s="67">
        <f>J89-$K$2*U89</f>
        <v/>
      </c>
      <c r="K90" s="67">
        <f>K89-$K$2*V89</f>
        <v/>
      </c>
      <c r="L90" s="67">
        <f>L89-$K$2*W89</f>
        <v/>
      </c>
      <c r="M90" s="67">
        <f>M89-$K$2*X89</f>
        <v/>
      </c>
      <c r="N90" s="67">
        <f>I90+J90*C90+K90*D90+L90*E90+F90*M90</f>
        <v/>
      </c>
      <c r="O90" s="67">
        <f>1/(1+EXP(-N90))</f>
        <v/>
      </c>
      <c r="P90" s="68">
        <f>IF(O90&gt;0.5,1,0)</f>
        <v/>
      </c>
      <c r="Q90" s="68">
        <f>O90-G90</f>
        <v/>
      </c>
      <c r="R90" s="69">
        <f>Q90^2</f>
        <v/>
      </c>
      <c r="S90">
        <f>IF(P90=G90,1,0)</f>
        <v/>
      </c>
      <c r="T90">
        <f>2*(O90-G90)*(1-O90)*O90</f>
        <v/>
      </c>
      <c r="U90">
        <f>2*(O90-G90)*(1-O90)*O90*C90</f>
        <v/>
      </c>
      <c r="V90">
        <f>2*(O90-G90)*(1-O90)*O90*D90</f>
        <v/>
      </c>
      <c r="W90">
        <f>2*(O90-G90)*(1-O90)*O90*E90</f>
        <v/>
      </c>
      <c r="X90">
        <f>2*(O90-G90)*(1-O90)*O90*F90</f>
        <v/>
      </c>
    </row>
    <row r="91" ht="14.25" customHeight="1" s="96">
      <c r="A91" s="117" t="n"/>
      <c r="B91" s="66" t="n">
        <v>7</v>
      </c>
      <c r="C91" s="79" t="n">
        <v>4.6</v>
      </c>
      <c r="D91" s="67" t="n">
        <v>3.4</v>
      </c>
      <c r="E91" s="67" t="n">
        <v>1.4</v>
      </c>
      <c r="F91" s="67" t="n">
        <v>0.3</v>
      </c>
      <c r="G91" s="80" t="n">
        <v>0</v>
      </c>
      <c r="I91" s="66">
        <f>I90-$K$2*T90</f>
        <v/>
      </c>
      <c r="J91" s="67">
        <f>J90-$K$2*U90</f>
        <v/>
      </c>
      <c r="K91" s="67">
        <f>K90-$K$2*V90</f>
        <v/>
      </c>
      <c r="L91" s="67">
        <f>L90-$K$2*W90</f>
        <v/>
      </c>
      <c r="M91" s="67">
        <f>M90-$K$2*X90</f>
        <v/>
      </c>
      <c r="N91" s="67">
        <f>I91+J91*C91+K91*D91+L91*E91+F91*M91</f>
        <v/>
      </c>
      <c r="O91" s="67">
        <f>1/(1+EXP(-N91))</f>
        <v/>
      </c>
      <c r="P91" s="68">
        <f>IF(O91&gt;0.5,1,0)</f>
        <v/>
      </c>
      <c r="Q91" s="68">
        <f>O91-G91</f>
        <v/>
      </c>
      <c r="R91" s="69">
        <f>Q91^2</f>
        <v/>
      </c>
      <c r="S91">
        <f>IF(P91=G91,1,0)</f>
        <v/>
      </c>
      <c r="T91">
        <f>2*(O91-G91)*(1-O91)*O91</f>
        <v/>
      </c>
      <c r="U91">
        <f>2*(O91-G91)*(1-O91)*O91*C91</f>
        <v/>
      </c>
      <c r="V91">
        <f>2*(O91-G91)*(1-O91)*O91*D91</f>
        <v/>
      </c>
      <c r="W91">
        <f>2*(O91-G91)*(1-O91)*O91*E91</f>
        <v/>
      </c>
      <c r="X91">
        <f>2*(O91-G91)*(1-O91)*O91*F91</f>
        <v/>
      </c>
    </row>
    <row r="92" ht="14.25" customHeight="1" s="96">
      <c r="A92" s="117" t="n"/>
      <c r="B92" s="66" t="n">
        <v>8</v>
      </c>
      <c r="C92" s="79" t="n">
        <v>5</v>
      </c>
      <c r="D92" s="67" t="n">
        <v>3.4</v>
      </c>
      <c r="E92" s="67" t="n">
        <v>1.5</v>
      </c>
      <c r="F92" s="67" t="n">
        <v>0.2</v>
      </c>
      <c r="G92" s="80" t="n">
        <v>0</v>
      </c>
      <c r="I92" s="66">
        <f>I91-$K$2*T91</f>
        <v/>
      </c>
      <c r="J92" s="67">
        <f>J91-$K$2*U91</f>
        <v/>
      </c>
      <c r="K92" s="67">
        <f>K91-$K$2*V91</f>
        <v/>
      </c>
      <c r="L92" s="67">
        <f>L91-$K$2*W91</f>
        <v/>
      </c>
      <c r="M92" s="67">
        <f>M91-$K$2*X91</f>
        <v/>
      </c>
      <c r="N92" s="67">
        <f>I92+J92*C92+K92*D92+L92*E92+F92*M92</f>
        <v/>
      </c>
      <c r="O92" s="67">
        <f>1/(1+EXP(-N92))</f>
        <v/>
      </c>
      <c r="P92" s="68">
        <f>IF(O92&gt;0.5,1,0)</f>
        <v/>
      </c>
      <c r="Q92" s="68">
        <f>O92-G92</f>
        <v/>
      </c>
      <c r="R92" s="69">
        <f>Q92^2</f>
        <v/>
      </c>
      <c r="S92">
        <f>IF(P92=G92,1,0)</f>
        <v/>
      </c>
      <c r="T92">
        <f>2*(O92-G92)*(1-O92)*O92</f>
        <v/>
      </c>
      <c r="U92">
        <f>2*(O92-G92)*(1-O92)*O92*C92</f>
        <v/>
      </c>
      <c r="V92">
        <f>2*(O92-G92)*(1-O92)*O92*D92</f>
        <v/>
      </c>
      <c r="W92">
        <f>2*(O92-G92)*(1-O92)*O92*E92</f>
        <v/>
      </c>
      <c r="X92">
        <f>2*(O92-G92)*(1-O92)*O92*F92</f>
        <v/>
      </c>
    </row>
    <row r="93" ht="14.25" customHeight="1" s="96">
      <c r="A93" s="117" t="n"/>
      <c r="B93" s="66" t="n">
        <v>9</v>
      </c>
      <c r="C93" s="79" t="n">
        <v>4.4</v>
      </c>
      <c r="D93" s="67" t="n">
        <v>2.9</v>
      </c>
      <c r="E93" s="67" t="n">
        <v>1.4</v>
      </c>
      <c r="F93" s="67" t="n">
        <v>0.2</v>
      </c>
      <c r="G93" s="80" t="n">
        <v>0</v>
      </c>
      <c r="I93" s="66">
        <f>I92-$K$2*T92</f>
        <v/>
      </c>
      <c r="J93" s="67">
        <f>J92-$K$2*U92</f>
        <v/>
      </c>
      <c r="K93" s="67">
        <f>K92-$K$2*V92</f>
        <v/>
      </c>
      <c r="L93" s="67">
        <f>L92-$K$2*W92</f>
        <v/>
      </c>
      <c r="M93" s="67">
        <f>M92-$K$2*X92</f>
        <v/>
      </c>
      <c r="N93" s="67">
        <f>I93+J93*C93+K93*D93+L93*E93+F93*M93</f>
        <v/>
      </c>
      <c r="O93" s="67">
        <f>1/(1+EXP(-N93))</f>
        <v/>
      </c>
      <c r="P93" s="68">
        <f>IF(O93&gt;0.5,1,0)</f>
        <v/>
      </c>
      <c r="Q93" s="68">
        <f>O93-G93</f>
        <v/>
      </c>
      <c r="R93" s="69">
        <f>Q93^2</f>
        <v/>
      </c>
      <c r="S93">
        <f>IF(P93=G93,1,0)</f>
        <v/>
      </c>
      <c r="T93">
        <f>2*(O93-G93)*(1-O93)*O93</f>
        <v/>
      </c>
      <c r="U93">
        <f>2*(O93-G93)*(1-O93)*O93*C93</f>
        <v/>
      </c>
      <c r="V93">
        <f>2*(O93-G93)*(1-O93)*O93*D93</f>
        <v/>
      </c>
      <c r="W93">
        <f>2*(O93-G93)*(1-O93)*O93*E93</f>
        <v/>
      </c>
      <c r="X93">
        <f>2*(O93-G93)*(1-O93)*O93*F93</f>
        <v/>
      </c>
    </row>
    <row r="94" ht="14.25" customHeight="1" s="96">
      <c r="A94" s="117" t="n"/>
      <c r="B94" s="66" t="n">
        <v>10</v>
      </c>
      <c r="C94" s="79" t="n">
        <v>4.9</v>
      </c>
      <c r="D94" s="67" t="n">
        <v>3.1</v>
      </c>
      <c r="E94" s="67" t="n">
        <v>1.5</v>
      </c>
      <c r="F94" s="67" t="n">
        <v>0.1</v>
      </c>
      <c r="G94" s="80" t="n">
        <v>0</v>
      </c>
      <c r="I94" s="66">
        <f>I93-$K$2*T93</f>
        <v/>
      </c>
      <c r="J94" s="67">
        <f>J93-$K$2*U93</f>
        <v/>
      </c>
      <c r="K94" s="67">
        <f>K93-$K$2*V93</f>
        <v/>
      </c>
      <c r="L94" s="67">
        <f>L93-$K$2*W93</f>
        <v/>
      </c>
      <c r="M94" s="67">
        <f>M93-$K$2*X93</f>
        <v/>
      </c>
      <c r="N94" s="67">
        <f>I94+J94*C94+K94*D94+L94*E94+F94*M94</f>
        <v/>
      </c>
      <c r="O94" s="67">
        <f>1/(1+EXP(-N94))</f>
        <v/>
      </c>
      <c r="P94" s="68">
        <f>IF(O94&gt;0.5,1,0)</f>
        <v/>
      </c>
      <c r="Q94" s="68">
        <f>O94-G94</f>
        <v/>
      </c>
      <c r="R94" s="69">
        <f>Q94^2</f>
        <v/>
      </c>
      <c r="S94">
        <f>IF(P94=G94,1,0)</f>
        <v/>
      </c>
      <c r="T94">
        <f>2*(O94-G94)*(1-O94)*O94</f>
        <v/>
      </c>
      <c r="U94">
        <f>2*(O94-G94)*(1-O94)*O94*C94</f>
        <v/>
      </c>
      <c r="V94">
        <f>2*(O94-G94)*(1-O94)*O94*D94</f>
        <v/>
      </c>
      <c r="W94">
        <f>2*(O94-G94)*(1-O94)*O94*E94</f>
        <v/>
      </c>
      <c r="X94">
        <f>2*(O94-G94)*(1-O94)*O94*F94</f>
        <v/>
      </c>
    </row>
    <row r="95" ht="14.25" customHeight="1" s="96">
      <c r="A95" s="117" t="n"/>
      <c r="B95" s="66" t="n">
        <v>11</v>
      </c>
      <c r="C95" s="79" t="n">
        <v>5.4</v>
      </c>
      <c r="D95" s="67" t="n">
        <v>3.7</v>
      </c>
      <c r="E95" s="67" t="n">
        <v>1.5</v>
      </c>
      <c r="F95" s="67" t="n">
        <v>0.2</v>
      </c>
      <c r="G95" s="80" t="n">
        <v>0</v>
      </c>
      <c r="I95" s="66">
        <f>I94-$K$2*T94</f>
        <v/>
      </c>
      <c r="J95" s="67">
        <f>J94-$K$2*U94</f>
        <v/>
      </c>
      <c r="K95" s="67">
        <f>K94-$K$2*V94</f>
        <v/>
      </c>
      <c r="L95" s="67">
        <f>L94-$K$2*W94</f>
        <v/>
      </c>
      <c r="M95" s="67">
        <f>M94-$K$2*X94</f>
        <v/>
      </c>
      <c r="N95" s="67">
        <f>I95+J95*C95+K95*D95+L95*E95+F95*M95</f>
        <v/>
      </c>
      <c r="O95" s="67">
        <f>1/(1+EXP(-N95))</f>
        <v/>
      </c>
      <c r="P95" s="68">
        <f>IF(O95&gt;0.5,1,0)</f>
        <v/>
      </c>
      <c r="Q95" s="68">
        <f>O95-G95</f>
        <v/>
      </c>
      <c r="R95" s="69">
        <f>Q95^2</f>
        <v/>
      </c>
      <c r="S95">
        <f>IF(P95=G95,1,0)</f>
        <v/>
      </c>
      <c r="T95">
        <f>2*(O95-G95)*(1-O95)*O95</f>
        <v/>
      </c>
      <c r="U95">
        <f>2*(O95-G95)*(1-O95)*O95*C95</f>
        <v/>
      </c>
      <c r="V95">
        <f>2*(O95-G95)*(1-O95)*O95*D95</f>
        <v/>
      </c>
      <c r="W95">
        <f>2*(O95-G95)*(1-O95)*O95*E95</f>
        <v/>
      </c>
      <c r="X95">
        <f>2*(O95-G95)*(1-O95)*O95*F95</f>
        <v/>
      </c>
    </row>
    <row r="96" ht="14.25" customHeight="1" s="96">
      <c r="A96" s="117" t="n"/>
      <c r="B96" s="66" t="n">
        <v>12</v>
      </c>
      <c r="C96" s="79" t="n">
        <v>4.8</v>
      </c>
      <c r="D96" s="67" t="n">
        <v>3.4</v>
      </c>
      <c r="E96" s="67" t="n">
        <v>1.6</v>
      </c>
      <c r="F96" s="67" t="n">
        <v>0.2</v>
      </c>
      <c r="G96" s="80" t="n">
        <v>0</v>
      </c>
      <c r="I96" s="66">
        <f>I95-$K$2*T95</f>
        <v/>
      </c>
      <c r="J96" s="67">
        <f>J95-$K$2*U95</f>
        <v/>
      </c>
      <c r="K96" s="67">
        <f>K95-$K$2*V95</f>
        <v/>
      </c>
      <c r="L96" s="67">
        <f>L95-$K$2*W95</f>
        <v/>
      </c>
      <c r="M96" s="67">
        <f>M95-$K$2*X95</f>
        <v/>
      </c>
      <c r="N96" s="67">
        <f>I96+J96*C96+K96*D96+L96*E96+F96*M96</f>
        <v/>
      </c>
      <c r="O96" s="67">
        <f>1/(1+EXP(-N96))</f>
        <v/>
      </c>
      <c r="P96" s="68">
        <f>IF(O96&gt;0.5,1,0)</f>
        <v/>
      </c>
      <c r="Q96" s="68">
        <f>O96-G96</f>
        <v/>
      </c>
      <c r="R96" s="69">
        <f>Q96^2</f>
        <v/>
      </c>
      <c r="S96">
        <f>IF(P96=G96,1,0)</f>
        <v/>
      </c>
      <c r="T96">
        <f>2*(O96-G96)*(1-O96)*O96</f>
        <v/>
      </c>
      <c r="U96">
        <f>2*(O96-G96)*(1-O96)*O96*C96</f>
        <v/>
      </c>
      <c r="V96">
        <f>2*(O96-G96)*(1-O96)*O96*D96</f>
        <v/>
      </c>
      <c r="W96">
        <f>2*(O96-G96)*(1-O96)*O96*E96</f>
        <v/>
      </c>
      <c r="X96">
        <f>2*(O96-G96)*(1-O96)*O96*F96</f>
        <v/>
      </c>
    </row>
    <row r="97" ht="14.25" customHeight="1" s="96">
      <c r="A97" s="117" t="n"/>
      <c r="B97" s="66" t="n">
        <v>13</v>
      </c>
      <c r="C97" s="79" t="n">
        <v>4.8</v>
      </c>
      <c r="D97" s="67" t="n">
        <v>3</v>
      </c>
      <c r="E97" s="67" t="n">
        <v>1.4</v>
      </c>
      <c r="F97" s="67" t="n">
        <v>0.1</v>
      </c>
      <c r="G97" s="80" t="n">
        <v>0</v>
      </c>
      <c r="I97" s="66">
        <f>I96-$K$2*T96</f>
        <v/>
      </c>
      <c r="J97" s="67">
        <f>J96-$K$2*U96</f>
        <v/>
      </c>
      <c r="K97" s="67">
        <f>K96-$K$2*V96</f>
        <v/>
      </c>
      <c r="L97" s="67">
        <f>L96-$K$2*W96</f>
        <v/>
      </c>
      <c r="M97" s="67">
        <f>M96-$K$2*X96</f>
        <v/>
      </c>
      <c r="N97" s="67">
        <f>I97+J97*C97+K97*D97+L97*E97+F97*M97</f>
        <v/>
      </c>
      <c r="O97" s="67">
        <f>1/(1+EXP(-N97))</f>
        <v/>
      </c>
      <c r="P97" s="68">
        <f>IF(O97&gt;0.5,1,0)</f>
        <v/>
      </c>
      <c r="Q97" s="68">
        <f>O97-G97</f>
        <v/>
      </c>
      <c r="R97" s="69">
        <f>Q97^2</f>
        <v/>
      </c>
      <c r="S97">
        <f>IF(P97=G97,1,0)</f>
        <v/>
      </c>
      <c r="T97">
        <f>2*(O97-G97)*(1-O97)*O97</f>
        <v/>
      </c>
      <c r="U97">
        <f>2*(O97-G97)*(1-O97)*O97*C97</f>
        <v/>
      </c>
      <c r="V97">
        <f>2*(O97-G97)*(1-O97)*O97*D97</f>
        <v/>
      </c>
      <c r="W97">
        <f>2*(O97-G97)*(1-O97)*O97*E97</f>
        <v/>
      </c>
      <c r="X97">
        <f>2*(O97-G97)*(1-O97)*O97*F97</f>
        <v/>
      </c>
    </row>
    <row r="98" ht="14.25" customHeight="1" s="96">
      <c r="A98" s="117" t="n"/>
      <c r="B98" s="66" t="n">
        <v>14</v>
      </c>
      <c r="C98" s="79" t="n">
        <v>4.3</v>
      </c>
      <c r="D98" s="67" t="n">
        <v>3</v>
      </c>
      <c r="E98" s="67" t="n">
        <v>1.1</v>
      </c>
      <c r="F98" s="67" t="n">
        <v>0.1</v>
      </c>
      <c r="G98" s="80" t="n">
        <v>0</v>
      </c>
      <c r="I98" s="66">
        <f>I97-$K$2*T97</f>
        <v/>
      </c>
      <c r="J98" s="67">
        <f>J97-$K$2*U97</f>
        <v/>
      </c>
      <c r="K98" s="67">
        <f>K97-$K$2*V97</f>
        <v/>
      </c>
      <c r="L98" s="67">
        <f>L97-$K$2*W97</f>
        <v/>
      </c>
      <c r="M98" s="67">
        <f>M97-$K$2*X97</f>
        <v/>
      </c>
      <c r="N98" s="67">
        <f>I98+J98*C98+K98*D98+L98*E98+F98*M98</f>
        <v/>
      </c>
      <c r="O98" s="67">
        <f>1/(1+EXP(-N98))</f>
        <v/>
      </c>
      <c r="P98" s="68">
        <f>IF(O98&gt;0.5,1,0)</f>
        <v/>
      </c>
      <c r="Q98" s="68">
        <f>O98-G98</f>
        <v/>
      </c>
      <c r="R98" s="69">
        <f>Q98^2</f>
        <v/>
      </c>
      <c r="S98">
        <f>IF(P98=G98,1,0)</f>
        <v/>
      </c>
      <c r="T98">
        <f>2*(O98-G98)*(1-O98)*O98</f>
        <v/>
      </c>
      <c r="U98">
        <f>2*(O98-G98)*(1-O98)*O98*C98</f>
        <v/>
      </c>
      <c r="V98">
        <f>2*(O98-G98)*(1-O98)*O98*D98</f>
        <v/>
      </c>
      <c r="W98">
        <f>2*(O98-G98)*(1-O98)*O98*E98</f>
        <v/>
      </c>
      <c r="X98">
        <f>2*(O98-G98)*(1-O98)*O98*F98</f>
        <v/>
      </c>
    </row>
    <row r="99" ht="14.25" customHeight="1" s="96">
      <c r="A99" s="117" t="n"/>
      <c r="B99" s="66" t="n">
        <v>15</v>
      </c>
      <c r="C99" s="79" t="n">
        <v>5.8</v>
      </c>
      <c r="D99" s="67" t="n">
        <v>4</v>
      </c>
      <c r="E99" s="67" t="n">
        <v>1.2</v>
      </c>
      <c r="F99" s="67" t="n">
        <v>0.2</v>
      </c>
      <c r="G99" s="80" t="n">
        <v>0</v>
      </c>
      <c r="I99" s="66">
        <f>I98-$K$2*T98</f>
        <v/>
      </c>
      <c r="J99" s="67">
        <f>J98-$K$2*U98</f>
        <v/>
      </c>
      <c r="K99" s="67">
        <f>K98-$K$2*V98</f>
        <v/>
      </c>
      <c r="L99" s="67">
        <f>L98-$K$2*W98</f>
        <v/>
      </c>
      <c r="M99" s="67">
        <f>M98-$K$2*X98</f>
        <v/>
      </c>
      <c r="N99" s="67">
        <f>I99+J99*C99+K99*D99+L99*E99+F99*M99</f>
        <v/>
      </c>
      <c r="O99" s="67">
        <f>1/(1+EXP(-N99))</f>
        <v/>
      </c>
      <c r="P99" s="68">
        <f>IF(O99&gt;0.5,1,0)</f>
        <v/>
      </c>
      <c r="Q99" s="68">
        <f>O99-G99</f>
        <v/>
      </c>
      <c r="R99" s="69">
        <f>Q99^2</f>
        <v/>
      </c>
      <c r="S99">
        <f>IF(P99=G99,1,0)</f>
        <v/>
      </c>
      <c r="T99">
        <f>2*(O99-G99)*(1-O99)*O99</f>
        <v/>
      </c>
      <c r="U99">
        <f>2*(O99-G99)*(1-O99)*O99*C99</f>
        <v/>
      </c>
      <c r="V99">
        <f>2*(O99-G99)*(1-O99)*O99*D99</f>
        <v/>
      </c>
      <c r="W99">
        <f>2*(O99-G99)*(1-O99)*O99*E99</f>
        <v/>
      </c>
      <c r="X99">
        <f>2*(O99-G99)*(1-O99)*O99*F99</f>
        <v/>
      </c>
    </row>
    <row r="100" ht="14.25" customHeight="1" s="96">
      <c r="A100" s="117" t="n"/>
      <c r="B100" s="66" t="n">
        <v>16</v>
      </c>
      <c r="C100" s="79" t="n">
        <v>5.7</v>
      </c>
      <c r="D100" s="67" t="n">
        <v>4.4</v>
      </c>
      <c r="E100" s="67" t="n">
        <v>1.5</v>
      </c>
      <c r="F100" s="67" t="n">
        <v>0.4</v>
      </c>
      <c r="G100" s="80" t="n">
        <v>0</v>
      </c>
      <c r="I100" s="66">
        <f>I99-$K$2*T99</f>
        <v/>
      </c>
      <c r="J100" s="67">
        <f>J99-$K$2*U99</f>
        <v/>
      </c>
      <c r="K100" s="67">
        <f>K99-$K$2*V99</f>
        <v/>
      </c>
      <c r="L100" s="67">
        <f>L99-$K$2*W99</f>
        <v/>
      </c>
      <c r="M100" s="67">
        <f>M99-$K$2*X99</f>
        <v/>
      </c>
      <c r="N100" s="67">
        <f>I100+J100*C100+K100*D100+L100*E100+F100*M100</f>
        <v/>
      </c>
      <c r="O100" s="67">
        <f>1/(1+EXP(-N100))</f>
        <v/>
      </c>
      <c r="P100" s="68">
        <f>IF(O100&gt;0.5,1,0)</f>
        <v/>
      </c>
      <c r="Q100" s="68">
        <f>O100-G100</f>
        <v/>
      </c>
      <c r="R100" s="69">
        <f>Q100^2</f>
        <v/>
      </c>
      <c r="S100">
        <f>IF(P100=G100,1,0)</f>
        <v/>
      </c>
      <c r="T100">
        <f>2*(O100-G100)*(1-O100)*O100</f>
        <v/>
      </c>
      <c r="U100">
        <f>2*(O100-G100)*(1-O100)*O100*C100</f>
        <v/>
      </c>
      <c r="V100">
        <f>2*(O100-G100)*(1-O100)*O100*D100</f>
        <v/>
      </c>
      <c r="W100">
        <f>2*(O100-G100)*(1-O100)*O100*E100</f>
        <v/>
      </c>
      <c r="X100">
        <f>2*(O100-G100)*(1-O100)*O100*F100</f>
        <v/>
      </c>
    </row>
    <row r="101" ht="14.25" customHeight="1" s="96">
      <c r="A101" s="117" t="n"/>
      <c r="B101" s="66" t="n">
        <v>17</v>
      </c>
      <c r="C101" s="79" t="n">
        <v>5.4</v>
      </c>
      <c r="D101" s="67" t="n">
        <v>3.9</v>
      </c>
      <c r="E101" s="67" t="n">
        <v>1.3</v>
      </c>
      <c r="F101" s="67" t="n">
        <v>0.4</v>
      </c>
      <c r="G101" s="80" t="n">
        <v>0</v>
      </c>
      <c r="I101" s="66">
        <f>I100-$K$2*T100</f>
        <v/>
      </c>
      <c r="J101" s="67">
        <f>J100-$K$2*U100</f>
        <v/>
      </c>
      <c r="K101" s="67">
        <f>K100-$K$2*V100</f>
        <v/>
      </c>
      <c r="L101" s="67">
        <f>L100-$K$2*W100</f>
        <v/>
      </c>
      <c r="M101" s="67">
        <f>M100-$K$2*X100</f>
        <v/>
      </c>
      <c r="N101" s="67">
        <f>I101+J101*C101+K101*D101+L101*E101+F101*M101</f>
        <v/>
      </c>
      <c r="O101" s="67">
        <f>1/(1+EXP(-N101))</f>
        <v/>
      </c>
      <c r="P101" s="68">
        <f>IF(O101&gt;0.5,1,0)</f>
        <v/>
      </c>
      <c r="Q101" s="68">
        <f>O101-G101</f>
        <v/>
      </c>
      <c r="R101" s="69">
        <f>Q101^2</f>
        <v/>
      </c>
      <c r="S101">
        <f>IF(P101=G101,1,0)</f>
        <v/>
      </c>
      <c r="T101">
        <f>2*(O101-G101)*(1-O101)*O101</f>
        <v/>
      </c>
      <c r="U101">
        <f>2*(O101-G101)*(1-O101)*O101*C101</f>
        <v/>
      </c>
      <c r="V101">
        <f>2*(O101-G101)*(1-O101)*O101*D101</f>
        <v/>
      </c>
      <c r="W101">
        <f>2*(O101-G101)*(1-O101)*O101*E101</f>
        <v/>
      </c>
      <c r="X101">
        <f>2*(O101-G101)*(1-O101)*O101*F101</f>
        <v/>
      </c>
    </row>
    <row r="102" ht="14.25" customHeight="1" s="96">
      <c r="A102" s="117" t="n"/>
      <c r="B102" s="66" t="n">
        <v>18</v>
      </c>
      <c r="C102" s="79" t="n">
        <v>5.1</v>
      </c>
      <c r="D102" s="67" t="n">
        <v>3.5</v>
      </c>
      <c r="E102" s="67" t="n">
        <v>1.4</v>
      </c>
      <c r="F102" s="67" t="n">
        <v>0.3</v>
      </c>
      <c r="G102" s="80" t="n">
        <v>0</v>
      </c>
      <c r="I102" s="66">
        <f>I101-$K$2*T101</f>
        <v/>
      </c>
      <c r="J102" s="67">
        <f>J101-$K$2*U101</f>
        <v/>
      </c>
      <c r="K102" s="67">
        <f>K101-$K$2*V101</f>
        <v/>
      </c>
      <c r="L102" s="67">
        <f>L101-$K$2*W101</f>
        <v/>
      </c>
      <c r="M102" s="67">
        <f>M101-$K$2*X101</f>
        <v/>
      </c>
      <c r="N102" s="67">
        <f>I102+J102*C102+K102*D102+L102*E102+F102*M102</f>
        <v/>
      </c>
      <c r="O102" s="67">
        <f>1/(1+EXP(-N102))</f>
        <v/>
      </c>
      <c r="P102" s="68">
        <f>IF(O102&gt;0.5,1,0)</f>
        <v/>
      </c>
      <c r="Q102" s="68">
        <f>O102-G102</f>
        <v/>
      </c>
      <c r="R102" s="69">
        <f>Q102^2</f>
        <v/>
      </c>
      <c r="S102">
        <f>IF(P102=G102,1,0)</f>
        <v/>
      </c>
      <c r="T102">
        <f>2*(O102-G102)*(1-O102)*O102</f>
        <v/>
      </c>
      <c r="U102">
        <f>2*(O102-G102)*(1-O102)*O102*C102</f>
        <v/>
      </c>
      <c r="V102">
        <f>2*(O102-G102)*(1-O102)*O102*D102</f>
        <v/>
      </c>
      <c r="W102">
        <f>2*(O102-G102)*(1-O102)*O102*E102</f>
        <v/>
      </c>
      <c r="X102">
        <f>2*(O102-G102)*(1-O102)*O102*F102</f>
        <v/>
      </c>
    </row>
    <row r="103" ht="14.25" customHeight="1" s="96">
      <c r="A103" s="117" t="n"/>
      <c r="B103" s="66" t="n">
        <v>19</v>
      </c>
      <c r="C103" s="79" t="n">
        <v>5.7</v>
      </c>
      <c r="D103" s="67" t="n">
        <v>3.8</v>
      </c>
      <c r="E103" s="67" t="n">
        <v>1.7</v>
      </c>
      <c r="F103" s="67" t="n">
        <v>0.3</v>
      </c>
      <c r="G103" s="80" t="n">
        <v>0</v>
      </c>
      <c r="I103" s="66">
        <f>I102-$K$2*T102</f>
        <v/>
      </c>
      <c r="J103" s="67">
        <f>J102-$K$2*U102</f>
        <v/>
      </c>
      <c r="K103" s="67">
        <f>K102-$K$2*V102</f>
        <v/>
      </c>
      <c r="L103" s="67">
        <f>L102-$K$2*W102</f>
        <v/>
      </c>
      <c r="M103" s="67">
        <f>M102-$K$2*X102</f>
        <v/>
      </c>
      <c r="N103" s="67">
        <f>I103+J103*C103+K103*D103+L103*E103+F103*M103</f>
        <v/>
      </c>
      <c r="O103" s="67">
        <f>1/(1+EXP(-N103))</f>
        <v/>
      </c>
      <c r="P103" s="68">
        <f>IF(O103&gt;0.5,1,0)</f>
        <v/>
      </c>
      <c r="Q103" s="68">
        <f>O103-G103</f>
        <v/>
      </c>
      <c r="R103" s="69">
        <f>Q103^2</f>
        <v/>
      </c>
      <c r="S103">
        <f>IF(P103=G103,1,0)</f>
        <v/>
      </c>
      <c r="T103">
        <f>2*(O103-G103)*(1-O103)*O103</f>
        <v/>
      </c>
      <c r="U103">
        <f>2*(O103-G103)*(1-O103)*O103*C103</f>
        <v/>
      </c>
      <c r="V103">
        <f>2*(O103-G103)*(1-O103)*O103*D103</f>
        <v/>
      </c>
      <c r="W103">
        <f>2*(O103-G103)*(1-O103)*O103*E103</f>
        <v/>
      </c>
      <c r="X103">
        <f>2*(O103-G103)*(1-O103)*O103*F103</f>
        <v/>
      </c>
    </row>
    <row r="104" ht="14.25" customHeight="1" s="96">
      <c r="A104" s="117" t="n"/>
      <c r="B104" s="66" t="n">
        <v>20</v>
      </c>
      <c r="C104" s="79" t="n">
        <v>5.1</v>
      </c>
      <c r="D104" s="67" t="n">
        <v>3.8</v>
      </c>
      <c r="E104" s="67" t="n">
        <v>1.5</v>
      </c>
      <c r="F104" s="67" t="n">
        <v>0.3</v>
      </c>
      <c r="G104" s="80" t="n">
        <v>0</v>
      </c>
      <c r="I104" s="66">
        <f>I103-$K$2*T103</f>
        <v/>
      </c>
      <c r="J104" s="67">
        <f>J103-$K$2*U103</f>
        <v/>
      </c>
      <c r="K104" s="67">
        <f>K103-$K$2*V103</f>
        <v/>
      </c>
      <c r="L104" s="67">
        <f>L103-$K$2*W103</f>
        <v/>
      </c>
      <c r="M104" s="67">
        <f>M103-$K$2*X103</f>
        <v/>
      </c>
      <c r="N104" s="67">
        <f>I104+J104*C104+K104*D104+L104*E104+F104*M104</f>
        <v/>
      </c>
      <c r="O104" s="67">
        <f>1/(1+EXP(-N104))</f>
        <v/>
      </c>
      <c r="P104" s="68">
        <f>IF(O104&gt;0.5,1,0)</f>
        <v/>
      </c>
      <c r="Q104" s="68">
        <f>O104-G104</f>
        <v/>
      </c>
      <c r="R104" s="69">
        <f>Q104^2</f>
        <v/>
      </c>
      <c r="S104">
        <f>IF(P104=G104,1,0)</f>
        <v/>
      </c>
      <c r="T104">
        <f>2*(O104-G104)*(1-O104)*O104</f>
        <v/>
      </c>
      <c r="U104">
        <f>2*(O104-G104)*(1-O104)*O104*C104</f>
        <v/>
      </c>
      <c r="V104">
        <f>2*(O104-G104)*(1-O104)*O104*D104</f>
        <v/>
      </c>
      <c r="W104">
        <f>2*(O104-G104)*(1-O104)*O104*E104</f>
        <v/>
      </c>
      <c r="X104">
        <f>2*(O104-G104)*(1-O104)*O104*F104</f>
        <v/>
      </c>
    </row>
    <row r="105" ht="14.25" customHeight="1" s="96">
      <c r="A105" s="117" t="n"/>
      <c r="B105" s="66" t="n">
        <v>21</v>
      </c>
      <c r="C105" s="79" t="n">
        <v>5.4</v>
      </c>
      <c r="D105" s="67" t="n">
        <v>3.4</v>
      </c>
      <c r="E105" s="67" t="n">
        <v>1.7</v>
      </c>
      <c r="F105" s="67" t="n">
        <v>0.2</v>
      </c>
      <c r="G105" s="80" t="n">
        <v>0</v>
      </c>
      <c r="I105" s="66">
        <f>I104-$K$2*T104</f>
        <v/>
      </c>
      <c r="J105" s="67">
        <f>J104-$K$2*U104</f>
        <v/>
      </c>
      <c r="K105" s="67">
        <f>K104-$K$2*V104</f>
        <v/>
      </c>
      <c r="L105" s="67">
        <f>L104-$K$2*W104</f>
        <v/>
      </c>
      <c r="M105" s="67">
        <f>M104-$K$2*X104</f>
        <v/>
      </c>
      <c r="N105" s="67">
        <f>I105+J105*C105+K105*D105+L105*E105+F105*M105</f>
        <v/>
      </c>
      <c r="O105" s="67">
        <f>1/(1+EXP(-N105))</f>
        <v/>
      </c>
      <c r="P105" s="68">
        <f>IF(O105&gt;0.5,1,0)</f>
        <v/>
      </c>
      <c r="Q105" s="68">
        <f>O105-G105</f>
        <v/>
      </c>
      <c r="R105" s="69">
        <f>Q105^2</f>
        <v/>
      </c>
      <c r="S105">
        <f>IF(P105=G105,1,0)</f>
        <v/>
      </c>
      <c r="T105">
        <f>2*(O105-G105)*(1-O105)*O105</f>
        <v/>
      </c>
      <c r="U105">
        <f>2*(O105-G105)*(1-O105)*O105*C105</f>
        <v/>
      </c>
      <c r="V105">
        <f>2*(O105-G105)*(1-O105)*O105*D105</f>
        <v/>
      </c>
      <c r="W105">
        <f>2*(O105-G105)*(1-O105)*O105*E105</f>
        <v/>
      </c>
      <c r="X105">
        <f>2*(O105-G105)*(1-O105)*O105*F105</f>
        <v/>
      </c>
    </row>
    <row r="106" ht="14.25" customHeight="1" s="96">
      <c r="A106" s="117" t="n"/>
      <c r="B106" s="66" t="n">
        <v>22</v>
      </c>
      <c r="C106" s="79" t="n">
        <v>5.1</v>
      </c>
      <c r="D106" s="67" t="n">
        <v>3.7</v>
      </c>
      <c r="E106" s="67" t="n">
        <v>1.5</v>
      </c>
      <c r="F106" s="67" t="n">
        <v>0.4</v>
      </c>
      <c r="G106" s="80" t="n">
        <v>0</v>
      </c>
      <c r="I106" s="66">
        <f>I105-$K$2*T105</f>
        <v/>
      </c>
      <c r="J106" s="67">
        <f>J105-$K$2*U105</f>
        <v/>
      </c>
      <c r="K106" s="67">
        <f>K105-$K$2*V105</f>
        <v/>
      </c>
      <c r="L106" s="67">
        <f>L105-$K$2*W105</f>
        <v/>
      </c>
      <c r="M106" s="67">
        <f>M105-$K$2*X105</f>
        <v/>
      </c>
      <c r="N106" s="67">
        <f>I106+J106*C106+K106*D106+L106*E106+F106*M106</f>
        <v/>
      </c>
      <c r="O106" s="67">
        <f>1/(1+EXP(-N106))</f>
        <v/>
      </c>
      <c r="P106" s="68">
        <f>IF(O106&gt;0.5,1,0)</f>
        <v/>
      </c>
      <c r="Q106" s="68">
        <f>O106-G106</f>
        <v/>
      </c>
      <c r="R106" s="69">
        <f>Q106^2</f>
        <v/>
      </c>
      <c r="S106">
        <f>IF(P106=G106,1,0)</f>
        <v/>
      </c>
      <c r="T106">
        <f>2*(O106-G106)*(1-O106)*O106</f>
        <v/>
      </c>
      <c r="U106">
        <f>2*(O106-G106)*(1-O106)*O106*C106</f>
        <v/>
      </c>
      <c r="V106">
        <f>2*(O106-G106)*(1-O106)*O106*D106</f>
        <v/>
      </c>
      <c r="W106">
        <f>2*(O106-G106)*(1-O106)*O106*E106</f>
        <v/>
      </c>
      <c r="X106">
        <f>2*(O106-G106)*(1-O106)*O106*F106</f>
        <v/>
      </c>
    </row>
    <row r="107" ht="14.25" customHeight="1" s="96">
      <c r="A107" s="117" t="n"/>
      <c r="B107" s="66" t="n">
        <v>23</v>
      </c>
      <c r="C107" s="79" t="n">
        <v>4.6</v>
      </c>
      <c r="D107" s="67" t="n">
        <v>3.6</v>
      </c>
      <c r="E107" s="67" t="n">
        <v>1</v>
      </c>
      <c r="F107" s="67" t="n">
        <v>0.2</v>
      </c>
      <c r="G107" s="80" t="n">
        <v>0</v>
      </c>
      <c r="I107" s="66">
        <f>I106-$K$2*T106</f>
        <v/>
      </c>
      <c r="J107" s="67">
        <f>J106-$K$2*U106</f>
        <v/>
      </c>
      <c r="K107" s="67">
        <f>K106-$K$2*V106</f>
        <v/>
      </c>
      <c r="L107" s="67">
        <f>L106-$K$2*W106</f>
        <v/>
      </c>
      <c r="M107" s="67">
        <f>M106-$K$2*X106</f>
        <v/>
      </c>
      <c r="N107" s="67">
        <f>I107+J107*C107+K107*D107+L107*E107+F107*M107</f>
        <v/>
      </c>
      <c r="O107" s="67">
        <f>1/(1+EXP(-N107))</f>
        <v/>
      </c>
      <c r="P107" s="68">
        <f>IF(O107&gt;0.5,1,0)</f>
        <v/>
      </c>
      <c r="Q107" s="68">
        <f>O107-G107</f>
        <v/>
      </c>
      <c r="R107" s="69">
        <f>Q107^2</f>
        <v/>
      </c>
      <c r="S107">
        <f>IF(P107=G107,1,0)</f>
        <v/>
      </c>
      <c r="T107">
        <f>2*(O107-G107)*(1-O107)*O107</f>
        <v/>
      </c>
      <c r="U107">
        <f>2*(O107-G107)*(1-O107)*O107*C107</f>
        <v/>
      </c>
      <c r="V107">
        <f>2*(O107-G107)*(1-O107)*O107*D107</f>
        <v/>
      </c>
      <c r="W107">
        <f>2*(O107-G107)*(1-O107)*O107*E107</f>
        <v/>
      </c>
      <c r="X107">
        <f>2*(O107-G107)*(1-O107)*O107*F107</f>
        <v/>
      </c>
    </row>
    <row r="108" ht="14.25" customHeight="1" s="96">
      <c r="A108" s="117" t="n"/>
      <c r="B108" s="66" t="n">
        <v>24</v>
      </c>
      <c r="C108" s="79" t="n">
        <v>5.1</v>
      </c>
      <c r="D108" s="67" t="n">
        <v>3.3</v>
      </c>
      <c r="E108" s="67" t="n">
        <v>1.7</v>
      </c>
      <c r="F108" s="67" t="n">
        <v>0.5</v>
      </c>
      <c r="G108" s="80" t="n">
        <v>0</v>
      </c>
      <c r="I108" s="66">
        <f>I107-$K$2*T107</f>
        <v/>
      </c>
      <c r="J108" s="67">
        <f>J107-$K$2*U107</f>
        <v/>
      </c>
      <c r="K108" s="67">
        <f>K107-$K$2*V107</f>
        <v/>
      </c>
      <c r="L108" s="67">
        <f>L107-$K$2*W107</f>
        <v/>
      </c>
      <c r="M108" s="67">
        <f>M107-$K$2*X107</f>
        <v/>
      </c>
      <c r="N108" s="67">
        <f>I108+J108*C108+K108*D108+L108*E108+F108*M108</f>
        <v/>
      </c>
      <c r="O108" s="67">
        <f>1/(1+EXP(-N108))</f>
        <v/>
      </c>
      <c r="P108" s="68">
        <f>IF(O108&gt;0.5,1,0)</f>
        <v/>
      </c>
      <c r="Q108" s="68">
        <f>O108-G108</f>
        <v/>
      </c>
      <c r="R108" s="69">
        <f>Q108^2</f>
        <v/>
      </c>
      <c r="S108">
        <f>IF(P108=G108,1,0)</f>
        <v/>
      </c>
      <c r="T108">
        <f>2*(O108-G108)*(1-O108)*O108</f>
        <v/>
      </c>
      <c r="U108">
        <f>2*(O108-G108)*(1-O108)*O108*C108</f>
        <v/>
      </c>
      <c r="V108">
        <f>2*(O108-G108)*(1-O108)*O108*D108</f>
        <v/>
      </c>
      <c r="W108">
        <f>2*(O108-G108)*(1-O108)*O108*E108</f>
        <v/>
      </c>
      <c r="X108">
        <f>2*(O108-G108)*(1-O108)*O108*F108</f>
        <v/>
      </c>
    </row>
    <row r="109" ht="14.25" customHeight="1" s="96">
      <c r="A109" s="117" t="n"/>
      <c r="B109" s="66" t="n">
        <v>25</v>
      </c>
      <c r="C109" s="79" t="n">
        <v>4.8</v>
      </c>
      <c r="D109" s="67" t="n">
        <v>3.4</v>
      </c>
      <c r="E109" s="67" t="n">
        <v>1.9</v>
      </c>
      <c r="F109" s="67" t="n">
        <v>0.2</v>
      </c>
      <c r="G109" s="80" t="n">
        <v>0</v>
      </c>
      <c r="I109" s="66">
        <f>I108-$K$2*T108</f>
        <v/>
      </c>
      <c r="J109" s="67">
        <f>J108-$K$2*U108</f>
        <v/>
      </c>
      <c r="K109" s="67">
        <f>K108-$K$2*V108</f>
        <v/>
      </c>
      <c r="L109" s="67">
        <f>L108-$K$2*W108</f>
        <v/>
      </c>
      <c r="M109" s="67">
        <f>M108-$K$2*X108</f>
        <v/>
      </c>
      <c r="N109" s="67">
        <f>I109+J109*C109+K109*D109+L109*E109+F109*M109</f>
        <v/>
      </c>
      <c r="O109" s="67">
        <f>1/(1+EXP(-N109))</f>
        <v/>
      </c>
      <c r="P109" s="68">
        <f>IF(O109&gt;0.5,1,0)</f>
        <v/>
      </c>
      <c r="Q109" s="68">
        <f>O109-G109</f>
        <v/>
      </c>
      <c r="R109" s="69">
        <f>Q109^2</f>
        <v/>
      </c>
      <c r="S109">
        <f>IF(P109=G109,1,0)</f>
        <v/>
      </c>
      <c r="T109">
        <f>2*(O109-G109)*(1-O109)*O109</f>
        <v/>
      </c>
      <c r="U109">
        <f>2*(O109-G109)*(1-O109)*O109*C109</f>
        <v/>
      </c>
      <c r="V109">
        <f>2*(O109-G109)*(1-O109)*O109*D109</f>
        <v/>
      </c>
      <c r="W109">
        <f>2*(O109-G109)*(1-O109)*O109*E109</f>
        <v/>
      </c>
      <c r="X109">
        <f>2*(O109-G109)*(1-O109)*O109*F109</f>
        <v/>
      </c>
    </row>
    <row r="110" ht="14.25" customHeight="1" s="96">
      <c r="A110" s="117" t="n"/>
      <c r="B110" s="66" t="n">
        <v>26</v>
      </c>
      <c r="C110" s="79" t="n">
        <v>5</v>
      </c>
      <c r="D110" s="67" t="n">
        <v>3</v>
      </c>
      <c r="E110" s="67" t="n">
        <v>1.6</v>
      </c>
      <c r="F110" s="67" t="n">
        <v>0.2</v>
      </c>
      <c r="G110" s="80" t="n">
        <v>0</v>
      </c>
      <c r="I110" s="66">
        <f>I109-$K$2*T109</f>
        <v/>
      </c>
      <c r="J110" s="67">
        <f>J109-$K$2*U109</f>
        <v/>
      </c>
      <c r="K110" s="67">
        <f>K109-$K$2*V109</f>
        <v/>
      </c>
      <c r="L110" s="67">
        <f>L109-$K$2*W109</f>
        <v/>
      </c>
      <c r="M110" s="67">
        <f>M109-$K$2*X109</f>
        <v/>
      </c>
      <c r="N110" s="67">
        <f>I110+J110*C110+K110*D110+L110*E110+F110*M110</f>
        <v/>
      </c>
      <c r="O110" s="67">
        <f>1/(1+EXP(-N110))</f>
        <v/>
      </c>
      <c r="P110" s="68">
        <f>IF(O110&gt;0.5,1,0)</f>
        <v/>
      </c>
      <c r="Q110" s="68">
        <f>O110-G110</f>
        <v/>
      </c>
      <c r="R110" s="69">
        <f>Q110^2</f>
        <v/>
      </c>
      <c r="S110">
        <f>IF(P110=G110,1,0)</f>
        <v/>
      </c>
      <c r="T110">
        <f>2*(O110-G110)*(1-O110)*O110</f>
        <v/>
      </c>
      <c r="U110">
        <f>2*(O110-G110)*(1-O110)*O110*C110</f>
        <v/>
      </c>
      <c r="V110">
        <f>2*(O110-G110)*(1-O110)*O110*D110</f>
        <v/>
      </c>
      <c r="W110">
        <f>2*(O110-G110)*(1-O110)*O110*E110</f>
        <v/>
      </c>
      <c r="X110">
        <f>2*(O110-G110)*(1-O110)*O110*F110</f>
        <v/>
      </c>
    </row>
    <row r="111" ht="14.25" customHeight="1" s="96">
      <c r="A111" s="117" t="n"/>
      <c r="B111" s="66" t="n">
        <v>27</v>
      </c>
      <c r="C111" s="79" t="n">
        <v>5</v>
      </c>
      <c r="D111" s="67" t="n">
        <v>3.4</v>
      </c>
      <c r="E111" s="67" t="n">
        <v>1.6</v>
      </c>
      <c r="F111" s="67" t="n">
        <v>0.4</v>
      </c>
      <c r="G111" s="80" t="n">
        <v>0</v>
      </c>
      <c r="I111" s="66">
        <f>I110-$K$2*T110</f>
        <v/>
      </c>
      <c r="J111" s="67">
        <f>J110-$K$2*U110</f>
        <v/>
      </c>
      <c r="K111" s="67">
        <f>K110-$K$2*V110</f>
        <v/>
      </c>
      <c r="L111" s="67">
        <f>L110-$K$2*W110</f>
        <v/>
      </c>
      <c r="M111" s="67">
        <f>M110-$K$2*X110</f>
        <v/>
      </c>
      <c r="N111" s="67">
        <f>I111+J111*C111+K111*D111+L111*E111+F111*M111</f>
        <v/>
      </c>
      <c r="O111" s="67">
        <f>1/(1+EXP(-N111))</f>
        <v/>
      </c>
      <c r="P111" s="68">
        <f>IF(O111&gt;0.5,1,0)</f>
        <v/>
      </c>
      <c r="Q111" s="68">
        <f>O111-G111</f>
        <v/>
      </c>
      <c r="R111" s="69">
        <f>Q111^2</f>
        <v/>
      </c>
      <c r="S111">
        <f>IF(P111=G111,1,0)</f>
        <v/>
      </c>
      <c r="T111">
        <f>2*(O111-G111)*(1-O111)*O111</f>
        <v/>
      </c>
      <c r="U111">
        <f>2*(O111-G111)*(1-O111)*O111*C111</f>
        <v/>
      </c>
      <c r="V111">
        <f>2*(O111-G111)*(1-O111)*O111*D111</f>
        <v/>
      </c>
      <c r="W111">
        <f>2*(O111-G111)*(1-O111)*O111*E111</f>
        <v/>
      </c>
      <c r="X111">
        <f>2*(O111-G111)*(1-O111)*O111*F111</f>
        <v/>
      </c>
    </row>
    <row r="112" ht="14.25" customHeight="1" s="96">
      <c r="A112" s="117" t="n"/>
      <c r="B112" s="66" t="n">
        <v>28</v>
      </c>
      <c r="C112" s="79" t="n">
        <v>5.2</v>
      </c>
      <c r="D112" s="67" t="n">
        <v>3.5</v>
      </c>
      <c r="E112" s="67" t="n">
        <v>1.5</v>
      </c>
      <c r="F112" s="67" t="n">
        <v>0.2</v>
      </c>
      <c r="G112" s="80" t="n">
        <v>0</v>
      </c>
      <c r="I112" s="66">
        <f>I111-$K$2*T111</f>
        <v/>
      </c>
      <c r="J112" s="67">
        <f>J111-$K$2*U111</f>
        <v/>
      </c>
      <c r="K112" s="67">
        <f>K111-$K$2*V111</f>
        <v/>
      </c>
      <c r="L112" s="67">
        <f>L111-$K$2*W111</f>
        <v/>
      </c>
      <c r="M112" s="67">
        <f>M111-$K$2*X111</f>
        <v/>
      </c>
      <c r="N112" s="67">
        <f>I112+J112*C112+K112*D112+L112*E112+F112*M112</f>
        <v/>
      </c>
      <c r="O112" s="67">
        <f>1/(1+EXP(-N112))</f>
        <v/>
      </c>
      <c r="P112" s="68">
        <f>IF(O112&gt;0.5,1,0)</f>
        <v/>
      </c>
      <c r="Q112" s="68">
        <f>O112-G112</f>
        <v/>
      </c>
      <c r="R112" s="69">
        <f>Q112^2</f>
        <v/>
      </c>
      <c r="S112">
        <f>IF(P112=G112,1,0)</f>
        <v/>
      </c>
      <c r="T112">
        <f>2*(O112-G112)*(1-O112)*O112</f>
        <v/>
      </c>
      <c r="U112">
        <f>2*(O112-G112)*(1-O112)*O112*C112</f>
        <v/>
      </c>
      <c r="V112">
        <f>2*(O112-G112)*(1-O112)*O112*D112</f>
        <v/>
      </c>
      <c r="W112">
        <f>2*(O112-G112)*(1-O112)*O112*E112</f>
        <v/>
      </c>
      <c r="X112">
        <f>2*(O112-G112)*(1-O112)*O112*F112</f>
        <v/>
      </c>
    </row>
    <row r="113" ht="14.25" customHeight="1" s="96">
      <c r="A113" s="117" t="n"/>
      <c r="B113" s="66" t="n">
        <v>29</v>
      </c>
      <c r="C113" s="79" t="n">
        <v>5.2</v>
      </c>
      <c r="D113" s="67" t="n">
        <v>3.4</v>
      </c>
      <c r="E113" s="67" t="n">
        <v>1.4</v>
      </c>
      <c r="F113" s="67" t="n">
        <v>0.2</v>
      </c>
      <c r="G113" s="80" t="n">
        <v>0</v>
      </c>
      <c r="I113" s="66">
        <f>I112-$K$2*T112</f>
        <v/>
      </c>
      <c r="J113" s="67">
        <f>J112-$K$2*U112</f>
        <v/>
      </c>
      <c r="K113" s="67">
        <f>K112-$K$2*V112</f>
        <v/>
      </c>
      <c r="L113" s="67">
        <f>L112-$K$2*W112</f>
        <v/>
      </c>
      <c r="M113" s="67">
        <f>M112-$K$2*X112</f>
        <v/>
      </c>
      <c r="N113" s="67">
        <f>I113+J113*C113+K113*D113+L113*E113+F113*M113</f>
        <v/>
      </c>
      <c r="O113" s="67">
        <f>1/(1+EXP(-N113))</f>
        <v/>
      </c>
      <c r="P113" s="68">
        <f>IF(O113&gt;0.5,1,0)</f>
        <v/>
      </c>
      <c r="Q113" s="68">
        <f>O113-G113</f>
        <v/>
      </c>
      <c r="R113" s="69">
        <f>Q113^2</f>
        <v/>
      </c>
      <c r="S113">
        <f>IF(P113=G113,1,0)</f>
        <v/>
      </c>
      <c r="T113">
        <f>2*(O113-G113)*(1-O113)*O113</f>
        <v/>
      </c>
      <c r="U113">
        <f>2*(O113-G113)*(1-O113)*O113*C113</f>
        <v/>
      </c>
      <c r="V113">
        <f>2*(O113-G113)*(1-O113)*O113*D113</f>
        <v/>
      </c>
      <c r="W113">
        <f>2*(O113-G113)*(1-O113)*O113*E113</f>
        <v/>
      </c>
      <c r="X113">
        <f>2*(O113-G113)*(1-O113)*O113*F113</f>
        <v/>
      </c>
    </row>
    <row r="114" ht="14.25" customHeight="1" s="96">
      <c r="A114" s="117" t="n"/>
      <c r="B114" s="66" t="n">
        <v>30</v>
      </c>
      <c r="C114" s="79" t="n">
        <v>4.7</v>
      </c>
      <c r="D114" s="67" t="n">
        <v>3.2</v>
      </c>
      <c r="E114" s="67" t="n">
        <v>1.6</v>
      </c>
      <c r="F114" s="67" t="n">
        <v>0.2</v>
      </c>
      <c r="G114" s="80" t="n">
        <v>0</v>
      </c>
      <c r="I114" s="66">
        <f>I113-$K$2*T113</f>
        <v/>
      </c>
      <c r="J114" s="67">
        <f>J113-$K$2*U113</f>
        <v/>
      </c>
      <c r="K114" s="67">
        <f>K113-$K$2*V113</f>
        <v/>
      </c>
      <c r="L114" s="67">
        <f>L113-$K$2*W113</f>
        <v/>
      </c>
      <c r="M114" s="67">
        <f>M113-$K$2*X113</f>
        <v/>
      </c>
      <c r="N114" s="67">
        <f>I114+J114*C114+K114*D114+L114*E114+F114*M114</f>
        <v/>
      </c>
      <c r="O114" s="67">
        <f>1/(1+EXP(-N114))</f>
        <v/>
      </c>
      <c r="P114" s="68">
        <f>IF(O114&gt;0.5,1,0)</f>
        <v/>
      </c>
      <c r="Q114" s="68">
        <f>O114-G114</f>
        <v/>
      </c>
      <c r="R114" s="69">
        <f>Q114^2</f>
        <v/>
      </c>
      <c r="S114">
        <f>IF(P114=G114,1,0)</f>
        <v/>
      </c>
      <c r="T114">
        <f>2*(O114-G114)*(1-O114)*O114</f>
        <v/>
      </c>
      <c r="U114">
        <f>2*(O114-G114)*(1-O114)*O114*C114</f>
        <v/>
      </c>
      <c r="V114">
        <f>2*(O114-G114)*(1-O114)*O114*D114</f>
        <v/>
      </c>
      <c r="W114">
        <f>2*(O114-G114)*(1-O114)*O114*E114</f>
        <v/>
      </c>
      <c r="X114">
        <f>2*(O114-G114)*(1-O114)*O114*F114</f>
        <v/>
      </c>
    </row>
    <row r="115" ht="14.25" customHeight="1" s="96">
      <c r="A115" s="117" t="n"/>
      <c r="B115" s="66" t="n">
        <v>31</v>
      </c>
      <c r="C115" s="79" t="n">
        <v>4.8</v>
      </c>
      <c r="D115" s="67" t="n">
        <v>3.1</v>
      </c>
      <c r="E115" s="67" t="n">
        <v>1.6</v>
      </c>
      <c r="F115" s="67" t="n">
        <v>0.2</v>
      </c>
      <c r="G115" s="80" t="n">
        <v>0</v>
      </c>
      <c r="I115" s="66">
        <f>I114-$K$2*T114</f>
        <v/>
      </c>
      <c r="J115" s="67">
        <f>J114-$K$2*U114</f>
        <v/>
      </c>
      <c r="K115" s="67">
        <f>K114-$K$2*V114</f>
        <v/>
      </c>
      <c r="L115" s="67">
        <f>L114-$K$2*W114</f>
        <v/>
      </c>
      <c r="M115" s="67">
        <f>M114-$K$2*X114</f>
        <v/>
      </c>
      <c r="N115" s="67">
        <f>I115+J115*C115+K115*D115+L115*E115+F115*M115</f>
        <v/>
      </c>
      <c r="O115" s="67">
        <f>1/(1+EXP(-N115))</f>
        <v/>
      </c>
      <c r="P115" s="68">
        <f>IF(O115&gt;0.5,1,0)</f>
        <v/>
      </c>
      <c r="Q115" s="68">
        <f>O115-G115</f>
        <v/>
      </c>
      <c r="R115" s="69">
        <f>Q115^2</f>
        <v/>
      </c>
      <c r="S115">
        <f>IF(P115=G115,1,0)</f>
        <v/>
      </c>
      <c r="T115">
        <f>2*(O115-G115)*(1-O115)*O115</f>
        <v/>
      </c>
      <c r="U115">
        <f>2*(O115-G115)*(1-O115)*O115*C115</f>
        <v/>
      </c>
      <c r="V115">
        <f>2*(O115-G115)*(1-O115)*O115*D115</f>
        <v/>
      </c>
      <c r="W115">
        <f>2*(O115-G115)*(1-O115)*O115*E115</f>
        <v/>
      </c>
      <c r="X115">
        <f>2*(O115-G115)*(1-O115)*O115*F115</f>
        <v/>
      </c>
    </row>
    <row r="116" ht="14.25" customHeight="1" s="96">
      <c r="A116" s="117" t="n"/>
      <c r="B116" s="66" t="n">
        <v>32</v>
      </c>
      <c r="C116" s="79" t="n">
        <v>5.4</v>
      </c>
      <c r="D116" s="67" t="n">
        <v>3.4</v>
      </c>
      <c r="E116" s="67" t="n">
        <v>1.5</v>
      </c>
      <c r="F116" s="67" t="n">
        <v>0.4</v>
      </c>
      <c r="G116" s="80" t="n">
        <v>0</v>
      </c>
      <c r="I116" s="66">
        <f>I115-$K$2*T115</f>
        <v/>
      </c>
      <c r="J116" s="67">
        <f>J115-$K$2*U115</f>
        <v/>
      </c>
      <c r="K116" s="67">
        <f>K115-$K$2*V115</f>
        <v/>
      </c>
      <c r="L116" s="67">
        <f>L115-$K$2*W115</f>
        <v/>
      </c>
      <c r="M116" s="67">
        <f>M115-$K$2*X115</f>
        <v/>
      </c>
      <c r="N116" s="67">
        <f>I116+J116*C116+K116*D116+L116*E116+F116*M116</f>
        <v/>
      </c>
      <c r="O116" s="67">
        <f>1/(1+EXP(-N116))</f>
        <v/>
      </c>
      <c r="P116" s="68">
        <f>IF(O116&gt;0.5,1,0)</f>
        <v/>
      </c>
      <c r="Q116" s="68">
        <f>O116-G116</f>
        <v/>
      </c>
      <c r="R116" s="69">
        <f>Q116^2</f>
        <v/>
      </c>
      <c r="S116">
        <f>IF(P116=G116,1,0)</f>
        <v/>
      </c>
      <c r="T116">
        <f>2*(O116-G116)*(1-O116)*O116</f>
        <v/>
      </c>
      <c r="U116">
        <f>2*(O116-G116)*(1-O116)*O116*C116</f>
        <v/>
      </c>
      <c r="V116">
        <f>2*(O116-G116)*(1-O116)*O116*D116</f>
        <v/>
      </c>
      <c r="W116">
        <f>2*(O116-G116)*(1-O116)*O116*E116</f>
        <v/>
      </c>
      <c r="X116">
        <f>2*(O116-G116)*(1-O116)*O116*F116</f>
        <v/>
      </c>
    </row>
    <row r="117" ht="14.25" customHeight="1" s="96">
      <c r="A117" s="117" t="n"/>
      <c r="B117" s="66" t="n">
        <v>33</v>
      </c>
      <c r="C117" s="79" t="n">
        <v>5.2</v>
      </c>
      <c r="D117" s="67" t="n">
        <v>4.1</v>
      </c>
      <c r="E117" s="67" t="n">
        <v>1.5</v>
      </c>
      <c r="F117" s="67" t="n">
        <v>0.1</v>
      </c>
      <c r="G117" s="80" t="n">
        <v>0</v>
      </c>
      <c r="I117" s="66">
        <f>I116-$K$2*T116</f>
        <v/>
      </c>
      <c r="J117" s="67">
        <f>J116-$K$2*U116</f>
        <v/>
      </c>
      <c r="K117" s="67">
        <f>K116-$K$2*V116</f>
        <v/>
      </c>
      <c r="L117" s="67">
        <f>L116-$K$2*W116</f>
        <v/>
      </c>
      <c r="M117" s="67">
        <f>M116-$K$2*X116</f>
        <v/>
      </c>
      <c r="N117" s="67">
        <f>I117+J117*C117+K117*D117+L117*E117+F117*M117</f>
        <v/>
      </c>
      <c r="O117" s="67">
        <f>1/(1+EXP(-N117))</f>
        <v/>
      </c>
      <c r="P117" s="68">
        <f>IF(O117&gt;0.5,1,0)</f>
        <v/>
      </c>
      <c r="Q117" s="68">
        <f>O117-G117</f>
        <v/>
      </c>
      <c r="R117" s="69">
        <f>Q117^2</f>
        <v/>
      </c>
      <c r="S117">
        <f>IF(P117=G117,1,0)</f>
        <v/>
      </c>
      <c r="T117">
        <f>2*(O117-G117)*(1-O117)*O117</f>
        <v/>
      </c>
      <c r="U117">
        <f>2*(O117-G117)*(1-O117)*O117*C117</f>
        <v/>
      </c>
      <c r="V117">
        <f>2*(O117-G117)*(1-O117)*O117*D117</f>
        <v/>
      </c>
      <c r="W117">
        <f>2*(O117-G117)*(1-O117)*O117*E117</f>
        <v/>
      </c>
      <c r="X117">
        <f>2*(O117-G117)*(1-O117)*O117*F117</f>
        <v/>
      </c>
    </row>
    <row r="118" ht="14.25" customHeight="1" s="96">
      <c r="A118" s="117" t="n"/>
      <c r="B118" s="66" t="n">
        <v>34</v>
      </c>
      <c r="C118" s="79" t="n">
        <v>5.5</v>
      </c>
      <c r="D118" s="67" t="n">
        <v>4.2</v>
      </c>
      <c r="E118" s="67" t="n">
        <v>1.4</v>
      </c>
      <c r="F118" s="67" t="n">
        <v>0.2</v>
      </c>
      <c r="G118" s="80" t="n">
        <v>0</v>
      </c>
      <c r="I118" s="66">
        <f>I117-$K$2*T117</f>
        <v/>
      </c>
      <c r="J118" s="67">
        <f>J117-$K$2*U117</f>
        <v/>
      </c>
      <c r="K118" s="67">
        <f>K117-$K$2*V117</f>
        <v/>
      </c>
      <c r="L118" s="67">
        <f>L117-$K$2*W117</f>
        <v/>
      </c>
      <c r="M118" s="67">
        <f>M117-$K$2*X117</f>
        <v/>
      </c>
      <c r="N118" s="67">
        <f>I118+J118*C118+K118*D118+L118*E118+F118*M118</f>
        <v/>
      </c>
      <c r="O118" s="67">
        <f>1/(1+EXP(-N118))</f>
        <v/>
      </c>
      <c r="P118" s="68">
        <f>IF(O118&gt;0.5,1,0)</f>
        <v/>
      </c>
      <c r="Q118" s="68">
        <f>O118-G118</f>
        <v/>
      </c>
      <c r="R118" s="69">
        <f>Q118^2</f>
        <v/>
      </c>
      <c r="S118">
        <f>IF(P118=G118,1,0)</f>
        <v/>
      </c>
      <c r="T118">
        <f>2*(O118-G118)*(1-O118)*O118</f>
        <v/>
      </c>
      <c r="U118">
        <f>2*(O118-G118)*(1-O118)*O118*C118</f>
        <v/>
      </c>
      <c r="V118">
        <f>2*(O118-G118)*(1-O118)*O118*D118</f>
        <v/>
      </c>
      <c r="W118">
        <f>2*(O118-G118)*(1-O118)*O118*E118</f>
        <v/>
      </c>
      <c r="X118">
        <f>2*(O118-G118)*(1-O118)*O118*F118</f>
        <v/>
      </c>
    </row>
    <row r="119" ht="14.25" customHeight="1" s="96">
      <c r="A119" s="117" t="n"/>
      <c r="B119" s="66" t="n">
        <v>35</v>
      </c>
      <c r="C119" s="79" t="n">
        <v>4.9</v>
      </c>
      <c r="D119" s="67" t="n">
        <v>3.1</v>
      </c>
      <c r="E119" s="67" t="n">
        <v>1.5</v>
      </c>
      <c r="F119" s="67" t="n">
        <v>0.1</v>
      </c>
      <c r="G119" s="80" t="n">
        <v>0</v>
      </c>
      <c r="I119" s="66">
        <f>I118-$K$2*T118</f>
        <v/>
      </c>
      <c r="J119" s="67">
        <f>J118-$K$2*U118</f>
        <v/>
      </c>
      <c r="K119" s="67">
        <f>K118-$K$2*V118</f>
        <v/>
      </c>
      <c r="L119" s="67">
        <f>L118-$K$2*W118</f>
        <v/>
      </c>
      <c r="M119" s="67">
        <f>M118-$K$2*X118</f>
        <v/>
      </c>
      <c r="N119" s="67">
        <f>I119+J119*C119+K119*D119+L119*E119+F119*M119</f>
        <v/>
      </c>
      <c r="O119" s="67">
        <f>1/(1+EXP(-N119))</f>
        <v/>
      </c>
      <c r="P119" s="68">
        <f>IF(O119&gt;0.5,1,0)</f>
        <v/>
      </c>
      <c r="Q119" s="68">
        <f>O119-G119</f>
        <v/>
      </c>
      <c r="R119" s="69">
        <f>Q119^2</f>
        <v/>
      </c>
      <c r="S119">
        <f>IF(P119=G119,1,0)</f>
        <v/>
      </c>
      <c r="T119">
        <f>2*(O119-G119)*(1-O119)*O119</f>
        <v/>
      </c>
      <c r="U119">
        <f>2*(O119-G119)*(1-O119)*O119*C119</f>
        <v/>
      </c>
      <c r="V119">
        <f>2*(O119-G119)*(1-O119)*O119*D119</f>
        <v/>
      </c>
      <c r="W119">
        <f>2*(O119-G119)*(1-O119)*O119*E119</f>
        <v/>
      </c>
      <c r="X119">
        <f>2*(O119-G119)*(1-O119)*O119*F119</f>
        <v/>
      </c>
    </row>
    <row r="120" ht="14.25" customHeight="1" s="96">
      <c r="A120" s="117" t="n"/>
      <c r="B120" s="66" t="n">
        <v>36</v>
      </c>
      <c r="C120" s="79" t="n">
        <v>5</v>
      </c>
      <c r="D120" s="67" t="n">
        <v>3.2</v>
      </c>
      <c r="E120" s="67" t="n">
        <v>1.2</v>
      </c>
      <c r="F120" s="67" t="n">
        <v>0.2</v>
      </c>
      <c r="G120" s="80" t="n">
        <v>0</v>
      </c>
      <c r="I120" s="66">
        <f>I119-$K$2*T119</f>
        <v/>
      </c>
      <c r="J120" s="67">
        <f>J119-$K$2*U119</f>
        <v/>
      </c>
      <c r="K120" s="67">
        <f>K119-$K$2*V119</f>
        <v/>
      </c>
      <c r="L120" s="67">
        <f>L119-$K$2*W119</f>
        <v/>
      </c>
      <c r="M120" s="67">
        <f>M119-$K$2*X119</f>
        <v/>
      </c>
      <c r="N120" s="67">
        <f>I120+J120*C120+K120*D120+L120*E120+F120*M120</f>
        <v/>
      </c>
      <c r="O120" s="67">
        <f>1/(1+EXP(-N120))</f>
        <v/>
      </c>
      <c r="P120" s="68">
        <f>IF(O120&gt;0.5,1,0)</f>
        <v/>
      </c>
      <c r="Q120" s="68">
        <f>O120-G120</f>
        <v/>
      </c>
      <c r="R120" s="69">
        <f>Q120^2</f>
        <v/>
      </c>
      <c r="S120">
        <f>IF(P120=G120,1,0)</f>
        <v/>
      </c>
      <c r="T120">
        <f>2*(O120-G120)*(1-O120)*O120</f>
        <v/>
      </c>
      <c r="U120">
        <f>2*(O120-G120)*(1-O120)*O120*C120</f>
        <v/>
      </c>
      <c r="V120">
        <f>2*(O120-G120)*(1-O120)*O120*D120</f>
        <v/>
      </c>
      <c r="W120">
        <f>2*(O120-G120)*(1-O120)*O120*E120</f>
        <v/>
      </c>
      <c r="X120">
        <f>2*(O120-G120)*(1-O120)*O120*F120</f>
        <v/>
      </c>
    </row>
    <row r="121" ht="14.25" customHeight="1" s="96">
      <c r="A121" s="117" t="n"/>
      <c r="B121" s="66" t="n">
        <v>37</v>
      </c>
      <c r="C121" s="79" t="n">
        <v>5.5</v>
      </c>
      <c r="D121" s="67" t="n">
        <v>3.5</v>
      </c>
      <c r="E121" s="67" t="n">
        <v>1.3</v>
      </c>
      <c r="F121" s="67" t="n">
        <v>0.2</v>
      </c>
      <c r="G121" s="80" t="n">
        <v>0</v>
      </c>
      <c r="I121" s="66">
        <f>I120-$K$2*T120</f>
        <v/>
      </c>
      <c r="J121" s="67">
        <f>J120-$K$2*U120</f>
        <v/>
      </c>
      <c r="K121" s="67">
        <f>K120-$K$2*V120</f>
        <v/>
      </c>
      <c r="L121" s="67">
        <f>L120-$K$2*W120</f>
        <v/>
      </c>
      <c r="M121" s="67">
        <f>M120-$K$2*X120</f>
        <v/>
      </c>
      <c r="N121" s="67">
        <f>I121+J121*C121+K121*D121+L121*E121+F121*M121</f>
        <v/>
      </c>
      <c r="O121" s="67">
        <f>1/(1+EXP(-N121))</f>
        <v/>
      </c>
      <c r="P121" s="68">
        <f>IF(O121&gt;0.5,1,0)</f>
        <v/>
      </c>
      <c r="Q121" s="68">
        <f>O121-G121</f>
        <v/>
      </c>
      <c r="R121" s="69">
        <f>Q121^2</f>
        <v/>
      </c>
      <c r="S121">
        <f>IF(P121=G121,1,0)</f>
        <v/>
      </c>
      <c r="T121">
        <f>2*(O121-G121)*(1-O121)*O121</f>
        <v/>
      </c>
      <c r="U121">
        <f>2*(O121-G121)*(1-O121)*O121*C121</f>
        <v/>
      </c>
      <c r="V121">
        <f>2*(O121-G121)*(1-O121)*O121*D121</f>
        <v/>
      </c>
      <c r="W121">
        <f>2*(O121-G121)*(1-O121)*O121*E121</f>
        <v/>
      </c>
      <c r="X121">
        <f>2*(O121-G121)*(1-O121)*O121*F121</f>
        <v/>
      </c>
    </row>
    <row r="122" ht="14.25" customHeight="1" s="96">
      <c r="A122" s="117" t="n"/>
      <c r="B122" s="66" t="n">
        <v>38</v>
      </c>
      <c r="C122" s="79" t="n">
        <v>4.9</v>
      </c>
      <c r="D122" s="67" t="n">
        <v>3.1</v>
      </c>
      <c r="E122" s="67" t="n">
        <v>1.5</v>
      </c>
      <c r="F122" s="67" t="n">
        <v>0.1</v>
      </c>
      <c r="G122" s="80" t="n">
        <v>0</v>
      </c>
      <c r="I122" s="66">
        <f>I121-$K$2*T121</f>
        <v/>
      </c>
      <c r="J122" s="67">
        <f>J121-$K$2*U121</f>
        <v/>
      </c>
      <c r="K122" s="67">
        <f>K121-$K$2*V121</f>
        <v/>
      </c>
      <c r="L122" s="67">
        <f>L121-$K$2*W121</f>
        <v/>
      </c>
      <c r="M122" s="67">
        <f>M121-$K$2*X121</f>
        <v/>
      </c>
      <c r="N122" s="67">
        <f>I122+J122*C122+K122*D122+L122*E122+F122*M122</f>
        <v/>
      </c>
      <c r="O122" s="67">
        <f>1/(1+EXP(-N122))</f>
        <v/>
      </c>
      <c r="P122" s="68">
        <f>IF(O122&gt;0.5,1,0)</f>
        <v/>
      </c>
      <c r="Q122" s="68">
        <f>O122-G122</f>
        <v/>
      </c>
      <c r="R122" s="69">
        <f>Q122^2</f>
        <v/>
      </c>
      <c r="S122">
        <f>IF(P122=G122,1,0)</f>
        <v/>
      </c>
      <c r="T122">
        <f>2*(O122-G122)*(1-O122)*O122</f>
        <v/>
      </c>
      <c r="U122">
        <f>2*(O122-G122)*(1-O122)*O122*C122</f>
        <v/>
      </c>
      <c r="V122">
        <f>2*(O122-G122)*(1-O122)*O122*D122</f>
        <v/>
      </c>
      <c r="W122">
        <f>2*(O122-G122)*(1-O122)*O122*E122</f>
        <v/>
      </c>
      <c r="X122">
        <f>2*(O122-G122)*(1-O122)*O122*F122</f>
        <v/>
      </c>
    </row>
    <row r="123" ht="14.25" customHeight="1" s="96">
      <c r="A123" s="117" t="n"/>
      <c r="B123" s="66" t="n">
        <v>39</v>
      </c>
      <c r="C123" s="79" t="n">
        <v>4.4</v>
      </c>
      <c r="D123" s="67" t="n">
        <v>3</v>
      </c>
      <c r="E123" s="67" t="n">
        <v>1.3</v>
      </c>
      <c r="F123" s="67" t="n">
        <v>0.2</v>
      </c>
      <c r="G123" s="80" t="n">
        <v>0</v>
      </c>
      <c r="I123" s="66">
        <f>I122-$K$2*T122</f>
        <v/>
      </c>
      <c r="J123" s="67">
        <f>J122-$K$2*U122</f>
        <v/>
      </c>
      <c r="K123" s="67">
        <f>K122-$K$2*V122</f>
        <v/>
      </c>
      <c r="L123" s="67">
        <f>L122-$K$2*W122</f>
        <v/>
      </c>
      <c r="M123" s="67">
        <f>M122-$K$2*X122</f>
        <v/>
      </c>
      <c r="N123" s="67">
        <f>I123+J123*C123+K123*D123+L123*E123+F123*M123</f>
        <v/>
      </c>
      <c r="O123" s="67">
        <f>1/(1+EXP(-N123))</f>
        <v/>
      </c>
      <c r="P123" s="68">
        <f>IF(O123&gt;0.5,1,0)</f>
        <v/>
      </c>
      <c r="Q123" s="68">
        <f>O123-G123</f>
        <v/>
      </c>
      <c r="R123" s="69">
        <f>Q123^2</f>
        <v/>
      </c>
      <c r="S123">
        <f>IF(P123=G123,1,0)</f>
        <v/>
      </c>
      <c r="T123">
        <f>2*(O123-G123)*(1-O123)*O123</f>
        <v/>
      </c>
      <c r="U123">
        <f>2*(O123-G123)*(1-O123)*O123*C123</f>
        <v/>
      </c>
      <c r="V123">
        <f>2*(O123-G123)*(1-O123)*O123*D123</f>
        <v/>
      </c>
      <c r="W123">
        <f>2*(O123-G123)*(1-O123)*O123*E123</f>
        <v/>
      </c>
      <c r="X123">
        <f>2*(O123-G123)*(1-O123)*O123*F123</f>
        <v/>
      </c>
    </row>
    <row r="124" ht="14.25" customHeight="1" s="96">
      <c r="A124" s="117" t="n"/>
      <c r="B124" s="66" t="n">
        <v>40</v>
      </c>
      <c r="C124" s="79" t="n">
        <v>5.1</v>
      </c>
      <c r="D124" s="67" t="n">
        <v>3.4</v>
      </c>
      <c r="E124" s="67" t="n">
        <v>1.5</v>
      </c>
      <c r="F124" s="67" t="n">
        <v>0.2</v>
      </c>
      <c r="G124" s="80" t="n">
        <v>0</v>
      </c>
      <c r="I124" s="66">
        <f>I123-$K$2*T123</f>
        <v/>
      </c>
      <c r="J124" s="67">
        <f>J123-$K$2*U123</f>
        <v/>
      </c>
      <c r="K124" s="67">
        <f>K123-$K$2*V123</f>
        <v/>
      </c>
      <c r="L124" s="67">
        <f>L123-$K$2*W123</f>
        <v/>
      </c>
      <c r="M124" s="67">
        <f>M123-$K$2*X123</f>
        <v/>
      </c>
      <c r="N124" s="67">
        <f>I124+J124*C124+K124*D124+L124*E124+F124*M124</f>
        <v/>
      </c>
      <c r="O124" s="67">
        <f>1/(1+EXP(-N124))</f>
        <v/>
      </c>
      <c r="P124" s="68">
        <f>IF(O124&gt;0.5,1,0)</f>
        <v/>
      </c>
      <c r="Q124" s="68">
        <f>O124-G124</f>
        <v/>
      </c>
      <c r="R124" s="69">
        <f>Q124^2</f>
        <v/>
      </c>
      <c r="S124">
        <f>IF(P124=G124,1,0)</f>
        <v/>
      </c>
      <c r="T124">
        <f>2*(O124-G124)*(1-O124)*O124</f>
        <v/>
      </c>
      <c r="U124">
        <f>2*(O124-G124)*(1-O124)*O124*C124</f>
        <v/>
      </c>
      <c r="V124">
        <f>2*(O124-G124)*(1-O124)*O124*D124</f>
        <v/>
      </c>
      <c r="W124">
        <f>2*(O124-G124)*(1-O124)*O124*E124</f>
        <v/>
      </c>
      <c r="X124">
        <f>2*(O124-G124)*(1-O124)*O124*F124</f>
        <v/>
      </c>
    </row>
    <row r="125" ht="14.25" customHeight="1" s="96">
      <c r="A125" s="117" t="n"/>
      <c r="B125" s="66" t="n">
        <v>41</v>
      </c>
      <c r="C125" s="79" t="n">
        <v>7</v>
      </c>
      <c r="D125" s="67" t="n">
        <v>3.2</v>
      </c>
      <c r="E125" s="67" t="n">
        <v>4.7</v>
      </c>
      <c r="F125" s="67" t="n">
        <v>1.4</v>
      </c>
      <c r="G125" s="80" t="n">
        <v>1</v>
      </c>
      <c r="I125" s="66">
        <f>I124-$K$2*T124</f>
        <v/>
      </c>
      <c r="J125" s="67">
        <f>J124-$K$2*U124</f>
        <v/>
      </c>
      <c r="K125" s="67">
        <f>K124-$K$2*V124</f>
        <v/>
      </c>
      <c r="L125" s="67">
        <f>L124-$K$2*W124</f>
        <v/>
      </c>
      <c r="M125" s="67">
        <f>M124-$K$2*X124</f>
        <v/>
      </c>
      <c r="N125" s="67">
        <f>I125+J125*C125+K125*D125+L125*E125+F125*M125</f>
        <v/>
      </c>
      <c r="O125" s="67">
        <f>1/(1+EXP(-N125))</f>
        <v/>
      </c>
      <c r="P125" s="68">
        <f>IF(O125&gt;0.5,1,0)</f>
        <v/>
      </c>
      <c r="Q125" s="68">
        <f>O125-G125</f>
        <v/>
      </c>
      <c r="R125" s="69">
        <f>Q125^2</f>
        <v/>
      </c>
      <c r="S125">
        <f>IF(P125=G125,1,0)</f>
        <v/>
      </c>
      <c r="T125">
        <f>2*(O125-G125)*(1-O125)*O125</f>
        <v/>
      </c>
      <c r="U125">
        <f>2*(O125-G125)*(1-O125)*O125*C125</f>
        <v/>
      </c>
      <c r="V125">
        <f>2*(O125-G125)*(1-O125)*O125*D125</f>
        <v/>
      </c>
      <c r="W125">
        <f>2*(O125-G125)*(1-O125)*O125*E125</f>
        <v/>
      </c>
      <c r="X125">
        <f>2*(O125-G125)*(1-O125)*O125*F125</f>
        <v/>
      </c>
    </row>
    <row r="126" ht="14.25" customHeight="1" s="96">
      <c r="A126" s="117" t="n"/>
      <c r="B126" s="66" t="n">
        <v>42</v>
      </c>
      <c r="C126" s="79" t="n">
        <v>6.4</v>
      </c>
      <c r="D126" s="67" t="n">
        <v>3.2</v>
      </c>
      <c r="E126" s="67" t="n">
        <v>4.5</v>
      </c>
      <c r="F126" s="67" t="n">
        <v>1.5</v>
      </c>
      <c r="G126" s="80" t="n">
        <v>1</v>
      </c>
      <c r="I126" s="66">
        <f>I125-$K$2*T125</f>
        <v/>
      </c>
      <c r="J126" s="67">
        <f>J125-$K$2*U125</f>
        <v/>
      </c>
      <c r="K126" s="67">
        <f>K125-$K$2*V125</f>
        <v/>
      </c>
      <c r="L126" s="67">
        <f>L125-$K$2*W125</f>
        <v/>
      </c>
      <c r="M126" s="67">
        <f>M125-$K$2*X125</f>
        <v/>
      </c>
      <c r="N126" s="67">
        <f>I126+J126*C126+K126*D126+L126*E126+F126*M126</f>
        <v/>
      </c>
      <c r="O126" s="67">
        <f>1/(1+EXP(-N126))</f>
        <v/>
      </c>
      <c r="P126" s="68">
        <f>IF(O126&gt;0.5,1,0)</f>
        <v/>
      </c>
      <c r="Q126" s="68">
        <f>O126-G126</f>
        <v/>
      </c>
      <c r="R126" s="69">
        <f>Q126^2</f>
        <v/>
      </c>
      <c r="S126">
        <f>IF(P126=G126,1,0)</f>
        <v/>
      </c>
      <c r="T126">
        <f>2*(O126-G126)*(1-O126)*O126</f>
        <v/>
      </c>
      <c r="U126">
        <f>2*(O126-G126)*(1-O126)*O126*C126</f>
        <v/>
      </c>
      <c r="V126">
        <f>2*(O126-G126)*(1-O126)*O126*D126</f>
        <v/>
      </c>
      <c r="W126">
        <f>2*(O126-G126)*(1-O126)*O126*E126</f>
        <v/>
      </c>
      <c r="X126">
        <f>2*(O126-G126)*(1-O126)*O126*F126</f>
        <v/>
      </c>
    </row>
    <row r="127" ht="14.25" customHeight="1" s="96">
      <c r="A127" s="117" t="n"/>
      <c r="B127" s="66" t="n">
        <v>43</v>
      </c>
      <c r="C127" s="79" t="n">
        <v>6.9</v>
      </c>
      <c r="D127" s="67" t="n">
        <v>3.1</v>
      </c>
      <c r="E127" s="67" t="n">
        <v>4.9</v>
      </c>
      <c r="F127" s="67" t="n">
        <v>1.5</v>
      </c>
      <c r="G127" s="80" t="n">
        <v>1</v>
      </c>
      <c r="I127" s="66">
        <f>I126-$K$2*T126</f>
        <v/>
      </c>
      <c r="J127" s="67">
        <f>J126-$K$2*U126</f>
        <v/>
      </c>
      <c r="K127" s="67">
        <f>K126-$K$2*V126</f>
        <v/>
      </c>
      <c r="L127" s="67">
        <f>L126-$K$2*W126</f>
        <v/>
      </c>
      <c r="M127" s="67">
        <f>M126-$K$2*X126</f>
        <v/>
      </c>
      <c r="N127" s="67">
        <f>I127+J127*C127+K127*D127+L127*E127+F127*M127</f>
        <v/>
      </c>
      <c r="O127" s="67">
        <f>1/(1+EXP(-N127))</f>
        <v/>
      </c>
      <c r="P127" s="68">
        <f>IF(O127&gt;0.5,1,0)</f>
        <v/>
      </c>
      <c r="Q127" s="68">
        <f>O127-G127</f>
        <v/>
      </c>
      <c r="R127" s="69">
        <f>Q127^2</f>
        <v/>
      </c>
      <c r="S127">
        <f>IF(P127=G127,1,0)</f>
        <v/>
      </c>
      <c r="T127">
        <f>2*(O127-G127)*(1-O127)*O127</f>
        <v/>
      </c>
      <c r="U127">
        <f>2*(O127-G127)*(1-O127)*O127*C127</f>
        <v/>
      </c>
      <c r="V127">
        <f>2*(O127-G127)*(1-O127)*O127*D127</f>
        <v/>
      </c>
      <c r="W127">
        <f>2*(O127-G127)*(1-O127)*O127*E127</f>
        <v/>
      </c>
      <c r="X127">
        <f>2*(O127-G127)*(1-O127)*O127*F127</f>
        <v/>
      </c>
    </row>
    <row r="128" ht="14.25" customHeight="1" s="96">
      <c r="A128" s="117" t="n"/>
      <c r="B128" s="66" t="n">
        <v>44</v>
      </c>
      <c r="C128" s="79" t="n">
        <v>5.5</v>
      </c>
      <c r="D128" s="67" t="n">
        <v>2.3</v>
      </c>
      <c r="E128" s="67" t="n">
        <v>4</v>
      </c>
      <c r="F128" s="67" t="n">
        <v>1.3</v>
      </c>
      <c r="G128" s="80" t="n">
        <v>1</v>
      </c>
      <c r="I128" s="66">
        <f>I127-$K$2*T127</f>
        <v/>
      </c>
      <c r="J128" s="67">
        <f>J127-$K$2*U127</f>
        <v/>
      </c>
      <c r="K128" s="67">
        <f>K127-$K$2*V127</f>
        <v/>
      </c>
      <c r="L128" s="67">
        <f>L127-$K$2*W127</f>
        <v/>
      </c>
      <c r="M128" s="67">
        <f>M127-$K$2*X127</f>
        <v/>
      </c>
      <c r="N128" s="67">
        <f>I128+J128*C128+K128*D128+L128*E128+F128*M128</f>
        <v/>
      </c>
      <c r="O128" s="67">
        <f>1/(1+EXP(-N128))</f>
        <v/>
      </c>
      <c r="P128" s="68">
        <f>IF(O128&gt;0.5,1,0)</f>
        <v/>
      </c>
      <c r="Q128" s="68">
        <f>O128-G128</f>
        <v/>
      </c>
      <c r="R128" s="69">
        <f>Q128^2</f>
        <v/>
      </c>
      <c r="S128">
        <f>IF(P128=G128,1,0)</f>
        <v/>
      </c>
      <c r="T128">
        <f>2*(O128-G128)*(1-O128)*O128</f>
        <v/>
      </c>
      <c r="U128">
        <f>2*(O128-G128)*(1-O128)*O128*C128</f>
        <v/>
      </c>
      <c r="V128">
        <f>2*(O128-G128)*(1-O128)*O128*D128</f>
        <v/>
      </c>
      <c r="W128">
        <f>2*(O128-G128)*(1-O128)*O128*E128</f>
        <v/>
      </c>
      <c r="X128">
        <f>2*(O128-G128)*(1-O128)*O128*F128</f>
        <v/>
      </c>
    </row>
    <row r="129" ht="14.25" customHeight="1" s="96">
      <c r="A129" s="117" t="n"/>
      <c r="B129" s="66" t="n">
        <v>45</v>
      </c>
      <c r="C129" s="79" t="n">
        <v>6.5</v>
      </c>
      <c r="D129" s="67" t="n">
        <v>2.8</v>
      </c>
      <c r="E129" s="67" t="n">
        <v>4.6</v>
      </c>
      <c r="F129" s="67" t="n">
        <v>1.5</v>
      </c>
      <c r="G129" s="80" t="n">
        <v>1</v>
      </c>
      <c r="I129" s="66">
        <f>I128-$K$2*T128</f>
        <v/>
      </c>
      <c r="J129" s="67">
        <f>J128-$K$2*U128</f>
        <v/>
      </c>
      <c r="K129" s="67">
        <f>K128-$K$2*V128</f>
        <v/>
      </c>
      <c r="L129" s="67">
        <f>L128-$K$2*W128</f>
        <v/>
      </c>
      <c r="M129" s="67">
        <f>M128-$K$2*X128</f>
        <v/>
      </c>
      <c r="N129" s="67">
        <f>I129+J129*C129+K129*D129+L129*E129+F129*M129</f>
        <v/>
      </c>
      <c r="O129" s="67">
        <f>1/(1+EXP(-N129))</f>
        <v/>
      </c>
      <c r="P129" s="68">
        <f>IF(O129&gt;0.5,1,0)</f>
        <v/>
      </c>
      <c r="Q129" s="68">
        <f>O129-G129</f>
        <v/>
      </c>
      <c r="R129" s="69">
        <f>Q129^2</f>
        <v/>
      </c>
      <c r="S129">
        <f>IF(P129=G129,1,0)</f>
        <v/>
      </c>
      <c r="T129">
        <f>2*(O129-G129)*(1-O129)*O129</f>
        <v/>
      </c>
      <c r="U129">
        <f>2*(O129-G129)*(1-O129)*O129*C129</f>
        <v/>
      </c>
      <c r="V129">
        <f>2*(O129-G129)*(1-O129)*O129*D129</f>
        <v/>
      </c>
      <c r="W129">
        <f>2*(O129-G129)*(1-O129)*O129*E129</f>
        <v/>
      </c>
      <c r="X129">
        <f>2*(O129-G129)*(1-O129)*O129*F129</f>
        <v/>
      </c>
    </row>
    <row r="130" ht="14.25" customHeight="1" s="96">
      <c r="A130" s="117" t="n"/>
      <c r="B130" s="66" t="n">
        <v>46</v>
      </c>
      <c r="C130" s="79" t="n">
        <v>5.7</v>
      </c>
      <c r="D130" s="67" t="n">
        <v>2.8</v>
      </c>
      <c r="E130" s="67" t="n">
        <v>4.5</v>
      </c>
      <c r="F130" s="67" t="n">
        <v>1.3</v>
      </c>
      <c r="G130" s="80" t="n">
        <v>1</v>
      </c>
      <c r="I130" s="66">
        <f>I129-$K$2*T129</f>
        <v/>
      </c>
      <c r="J130" s="67">
        <f>J129-$K$2*U129</f>
        <v/>
      </c>
      <c r="K130" s="67">
        <f>K129-$K$2*V129</f>
        <v/>
      </c>
      <c r="L130" s="67">
        <f>L129-$K$2*W129</f>
        <v/>
      </c>
      <c r="M130" s="67">
        <f>M129-$K$2*X129</f>
        <v/>
      </c>
      <c r="N130" s="67">
        <f>I130+J130*C130+K130*D130+L130*E130+F130*M130</f>
        <v/>
      </c>
      <c r="O130" s="67">
        <f>1/(1+EXP(-N130))</f>
        <v/>
      </c>
      <c r="P130" s="68">
        <f>IF(O130&gt;0.5,1,0)</f>
        <v/>
      </c>
      <c r="Q130" s="68">
        <f>O130-G130</f>
        <v/>
      </c>
      <c r="R130" s="69">
        <f>Q130^2</f>
        <v/>
      </c>
      <c r="S130">
        <f>IF(P130=G130,1,0)</f>
        <v/>
      </c>
      <c r="T130">
        <f>2*(O130-G130)*(1-O130)*O130</f>
        <v/>
      </c>
      <c r="U130">
        <f>2*(O130-G130)*(1-O130)*O130*C130</f>
        <v/>
      </c>
      <c r="V130">
        <f>2*(O130-G130)*(1-O130)*O130*D130</f>
        <v/>
      </c>
      <c r="W130">
        <f>2*(O130-G130)*(1-O130)*O130*E130</f>
        <v/>
      </c>
      <c r="X130">
        <f>2*(O130-G130)*(1-O130)*O130*F130</f>
        <v/>
      </c>
    </row>
    <row r="131" ht="14.25" customHeight="1" s="96">
      <c r="A131" s="117" t="n"/>
      <c r="B131" s="66" t="n">
        <v>47</v>
      </c>
      <c r="C131" s="79" t="n">
        <v>6.3</v>
      </c>
      <c r="D131" s="67" t="n">
        <v>3.3</v>
      </c>
      <c r="E131" s="67" t="n">
        <v>4.7</v>
      </c>
      <c r="F131" s="67" t="n">
        <v>1.6</v>
      </c>
      <c r="G131" s="80" t="n">
        <v>1</v>
      </c>
      <c r="I131" s="66">
        <f>I130-$K$2*T130</f>
        <v/>
      </c>
      <c r="J131" s="67">
        <f>J130-$K$2*U130</f>
        <v/>
      </c>
      <c r="K131" s="67">
        <f>K130-$K$2*V130</f>
        <v/>
      </c>
      <c r="L131" s="67">
        <f>L130-$K$2*W130</f>
        <v/>
      </c>
      <c r="M131" s="67">
        <f>M130-$K$2*X130</f>
        <v/>
      </c>
      <c r="N131" s="67">
        <f>I131+J131*C131+K131*D131+L131*E131+F131*M131</f>
        <v/>
      </c>
      <c r="O131" s="67">
        <f>1/(1+EXP(-N131))</f>
        <v/>
      </c>
      <c r="P131" s="68">
        <f>IF(O131&gt;0.5,1,0)</f>
        <v/>
      </c>
      <c r="Q131" s="68">
        <f>O131-G131</f>
        <v/>
      </c>
      <c r="R131" s="69">
        <f>Q131^2</f>
        <v/>
      </c>
      <c r="S131">
        <f>IF(P131=G131,1,0)</f>
        <v/>
      </c>
      <c r="T131">
        <f>2*(O131-G131)*(1-O131)*O131</f>
        <v/>
      </c>
      <c r="U131">
        <f>2*(O131-G131)*(1-O131)*O131*C131</f>
        <v/>
      </c>
      <c r="V131">
        <f>2*(O131-G131)*(1-O131)*O131*D131</f>
        <v/>
      </c>
      <c r="W131">
        <f>2*(O131-G131)*(1-O131)*O131*E131</f>
        <v/>
      </c>
      <c r="X131">
        <f>2*(O131-G131)*(1-O131)*O131*F131</f>
        <v/>
      </c>
    </row>
    <row r="132" ht="14.25" customHeight="1" s="96">
      <c r="A132" s="117" t="n"/>
      <c r="B132" s="66" t="n">
        <v>48</v>
      </c>
      <c r="C132" s="79" t="n">
        <v>4.9</v>
      </c>
      <c r="D132" s="67" t="n">
        <v>2.4</v>
      </c>
      <c r="E132" s="67" t="n">
        <v>3.3</v>
      </c>
      <c r="F132" s="67" t="n">
        <v>1</v>
      </c>
      <c r="G132" s="80" t="n">
        <v>1</v>
      </c>
      <c r="I132" s="66">
        <f>I131-$K$2*T131</f>
        <v/>
      </c>
      <c r="J132" s="67">
        <f>J131-$K$2*U131</f>
        <v/>
      </c>
      <c r="K132" s="67">
        <f>K131-$K$2*V131</f>
        <v/>
      </c>
      <c r="L132" s="67">
        <f>L131-$K$2*W131</f>
        <v/>
      </c>
      <c r="M132" s="67">
        <f>M131-$K$2*X131</f>
        <v/>
      </c>
      <c r="N132" s="67">
        <f>I132+J132*C132+K132*D132+L132*E132+F132*M132</f>
        <v/>
      </c>
      <c r="O132" s="67">
        <f>1/(1+EXP(-N132))</f>
        <v/>
      </c>
      <c r="P132" s="68">
        <f>IF(O132&gt;0.5,1,0)</f>
        <v/>
      </c>
      <c r="Q132" s="68">
        <f>O132-G132</f>
        <v/>
      </c>
      <c r="R132" s="69">
        <f>Q132^2</f>
        <v/>
      </c>
      <c r="S132">
        <f>IF(P132=G132,1,0)</f>
        <v/>
      </c>
      <c r="T132">
        <f>2*(O132-G132)*(1-O132)*O132</f>
        <v/>
      </c>
      <c r="U132">
        <f>2*(O132-G132)*(1-O132)*O132*C132</f>
        <v/>
      </c>
      <c r="V132">
        <f>2*(O132-G132)*(1-O132)*O132*D132</f>
        <v/>
      </c>
      <c r="W132">
        <f>2*(O132-G132)*(1-O132)*O132*E132</f>
        <v/>
      </c>
      <c r="X132">
        <f>2*(O132-G132)*(1-O132)*O132*F132</f>
        <v/>
      </c>
    </row>
    <row r="133" ht="14.25" customHeight="1" s="96">
      <c r="A133" s="117" t="n"/>
      <c r="B133" s="66" t="n">
        <v>49</v>
      </c>
      <c r="C133" s="79" t="n">
        <v>6.6</v>
      </c>
      <c r="D133" s="67" t="n">
        <v>2.9</v>
      </c>
      <c r="E133" s="67" t="n">
        <v>4.6</v>
      </c>
      <c r="F133" s="67" t="n">
        <v>1.3</v>
      </c>
      <c r="G133" s="80" t="n">
        <v>1</v>
      </c>
      <c r="I133" s="66">
        <f>I132-$K$2*T132</f>
        <v/>
      </c>
      <c r="J133" s="67">
        <f>J132-$K$2*U132</f>
        <v/>
      </c>
      <c r="K133" s="67">
        <f>K132-$K$2*V132</f>
        <v/>
      </c>
      <c r="L133" s="67">
        <f>L132-$K$2*W132</f>
        <v/>
      </c>
      <c r="M133" s="67">
        <f>M132-$K$2*X132</f>
        <v/>
      </c>
      <c r="N133" s="67">
        <f>I133+J133*C133+K133*D133+L133*E133+F133*M133</f>
        <v/>
      </c>
      <c r="O133" s="67">
        <f>1/(1+EXP(-N133))</f>
        <v/>
      </c>
      <c r="P133" s="68">
        <f>IF(O133&gt;0.5,1,0)</f>
        <v/>
      </c>
      <c r="Q133" s="68">
        <f>O133-G133</f>
        <v/>
      </c>
      <c r="R133" s="69">
        <f>Q133^2</f>
        <v/>
      </c>
      <c r="S133">
        <f>IF(P133=G133,1,0)</f>
        <v/>
      </c>
      <c r="T133">
        <f>2*(O133-G133)*(1-O133)*O133</f>
        <v/>
      </c>
      <c r="U133">
        <f>2*(O133-G133)*(1-O133)*O133*C133</f>
        <v/>
      </c>
      <c r="V133">
        <f>2*(O133-G133)*(1-O133)*O133*D133</f>
        <v/>
      </c>
      <c r="W133">
        <f>2*(O133-G133)*(1-O133)*O133*E133</f>
        <v/>
      </c>
      <c r="X133">
        <f>2*(O133-G133)*(1-O133)*O133*F133</f>
        <v/>
      </c>
    </row>
    <row r="134" ht="14.25" customHeight="1" s="96">
      <c r="A134" s="117" t="n"/>
      <c r="B134" s="66" t="n">
        <v>50</v>
      </c>
      <c r="C134" s="79" t="n">
        <v>5.2</v>
      </c>
      <c r="D134" s="67" t="n">
        <v>2.7</v>
      </c>
      <c r="E134" s="67" t="n">
        <v>3.9</v>
      </c>
      <c r="F134" s="67" t="n">
        <v>1.4</v>
      </c>
      <c r="G134" s="80" t="n">
        <v>1</v>
      </c>
      <c r="I134" s="66">
        <f>I133-$K$2*T133</f>
        <v/>
      </c>
      <c r="J134" s="67">
        <f>J133-$K$2*U133</f>
        <v/>
      </c>
      <c r="K134" s="67">
        <f>K133-$K$2*V133</f>
        <v/>
      </c>
      <c r="L134" s="67">
        <f>L133-$K$2*W133</f>
        <v/>
      </c>
      <c r="M134" s="67">
        <f>M133-$K$2*X133</f>
        <v/>
      </c>
      <c r="N134" s="67">
        <f>I134+J134*C134+K134*D134+L134*E134+F134*M134</f>
        <v/>
      </c>
      <c r="O134" s="67">
        <f>1/(1+EXP(-N134))</f>
        <v/>
      </c>
      <c r="P134" s="68">
        <f>IF(O134&gt;0.5,1,0)</f>
        <v/>
      </c>
      <c r="Q134" s="68">
        <f>O134-G134</f>
        <v/>
      </c>
      <c r="R134" s="69">
        <f>Q134^2</f>
        <v/>
      </c>
      <c r="S134">
        <f>IF(P134=G134,1,0)</f>
        <v/>
      </c>
      <c r="T134">
        <f>2*(O134-G134)*(1-O134)*O134</f>
        <v/>
      </c>
      <c r="U134">
        <f>2*(O134-G134)*(1-O134)*O134*C134</f>
        <v/>
      </c>
      <c r="V134">
        <f>2*(O134-G134)*(1-O134)*O134*D134</f>
        <v/>
      </c>
      <c r="W134">
        <f>2*(O134-G134)*(1-O134)*O134*E134</f>
        <v/>
      </c>
      <c r="X134">
        <f>2*(O134-G134)*(1-O134)*O134*F134</f>
        <v/>
      </c>
    </row>
    <row r="135" ht="14.25" customHeight="1" s="96">
      <c r="A135" s="117" t="n"/>
      <c r="B135" s="66" t="n">
        <v>51</v>
      </c>
      <c r="C135" s="79" t="n">
        <v>5</v>
      </c>
      <c r="D135" s="67" t="n">
        <v>2</v>
      </c>
      <c r="E135" s="67" t="n">
        <v>3.5</v>
      </c>
      <c r="F135" s="67" t="n">
        <v>1</v>
      </c>
      <c r="G135" s="80" t="n">
        <v>1</v>
      </c>
      <c r="I135" s="66">
        <f>I134-$K$2*T134</f>
        <v/>
      </c>
      <c r="J135" s="67">
        <f>J134-$K$2*U134</f>
        <v/>
      </c>
      <c r="K135" s="67">
        <f>K134-$K$2*V134</f>
        <v/>
      </c>
      <c r="L135" s="67">
        <f>L134-$K$2*W134</f>
        <v/>
      </c>
      <c r="M135" s="67">
        <f>M134-$K$2*X134</f>
        <v/>
      </c>
      <c r="N135" s="67">
        <f>I135+J135*C135+K135*D135+L135*E135+F135*M135</f>
        <v/>
      </c>
      <c r="O135" s="67">
        <f>1/(1+EXP(-N135))</f>
        <v/>
      </c>
      <c r="P135" s="68">
        <f>IF(O135&gt;0.5,1,0)</f>
        <v/>
      </c>
      <c r="Q135" s="68">
        <f>O135-G135</f>
        <v/>
      </c>
      <c r="R135" s="69">
        <f>Q135^2</f>
        <v/>
      </c>
      <c r="S135">
        <f>IF(P135=G135,1,0)</f>
        <v/>
      </c>
      <c r="T135">
        <f>2*(O135-G135)*(1-O135)*O135</f>
        <v/>
      </c>
      <c r="U135">
        <f>2*(O135-G135)*(1-O135)*O135*C135</f>
        <v/>
      </c>
      <c r="V135">
        <f>2*(O135-G135)*(1-O135)*O135*D135</f>
        <v/>
      </c>
      <c r="W135">
        <f>2*(O135-G135)*(1-O135)*O135*E135</f>
        <v/>
      </c>
      <c r="X135">
        <f>2*(O135-G135)*(1-O135)*O135*F135</f>
        <v/>
      </c>
    </row>
    <row r="136" ht="14.25" customHeight="1" s="96">
      <c r="A136" s="117" t="n"/>
      <c r="B136" s="66" t="n">
        <v>52</v>
      </c>
      <c r="C136" s="79" t="n">
        <v>5.9</v>
      </c>
      <c r="D136" s="67" t="n">
        <v>3</v>
      </c>
      <c r="E136" s="67" t="n">
        <v>4.2</v>
      </c>
      <c r="F136" s="67" t="n">
        <v>1.5</v>
      </c>
      <c r="G136" s="80" t="n">
        <v>1</v>
      </c>
      <c r="I136" s="66">
        <f>I135-$K$2*T135</f>
        <v/>
      </c>
      <c r="J136" s="67">
        <f>J135-$K$2*U135</f>
        <v/>
      </c>
      <c r="K136" s="67">
        <f>K135-$K$2*V135</f>
        <v/>
      </c>
      <c r="L136" s="67">
        <f>L135-$K$2*W135</f>
        <v/>
      </c>
      <c r="M136" s="67">
        <f>M135-$K$2*X135</f>
        <v/>
      </c>
      <c r="N136" s="67">
        <f>I136+J136*C136+K136*D136+L136*E136+F136*M136</f>
        <v/>
      </c>
      <c r="O136" s="67">
        <f>1/(1+EXP(-N136))</f>
        <v/>
      </c>
      <c r="P136" s="68">
        <f>IF(O136&gt;0.5,1,0)</f>
        <v/>
      </c>
      <c r="Q136" s="68">
        <f>O136-G136</f>
        <v/>
      </c>
      <c r="R136" s="69">
        <f>Q136^2</f>
        <v/>
      </c>
      <c r="S136">
        <f>IF(P136=G136,1,0)</f>
        <v/>
      </c>
      <c r="T136">
        <f>2*(O136-G136)*(1-O136)*O136</f>
        <v/>
      </c>
      <c r="U136">
        <f>2*(O136-G136)*(1-O136)*O136*C136</f>
        <v/>
      </c>
      <c r="V136">
        <f>2*(O136-G136)*(1-O136)*O136*D136</f>
        <v/>
      </c>
      <c r="W136">
        <f>2*(O136-G136)*(1-O136)*O136*E136</f>
        <v/>
      </c>
      <c r="X136">
        <f>2*(O136-G136)*(1-O136)*O136*F136</f>
        <v/>
      </c>
    </row>
    <row r="137" ht="14.25" customHeight="1" s="96">
      <c r="A137" s="117" t="n"/>
      <c r="B137" s="66" t="n">
        <v>53</v>
      </c>
      <c r="C137" s="79" t="n">
        <v>6</v>
      </c>
      <c r="D137" s="67" t="n">
        <v>2.2</v>
      </c>
      <c r="E137" s="67" t="n">
        <v>4</v>
      </c>
      <c r="F137" s="67" t="n">
        <v>1</v>
      </c>
      <c r="G137" s="80" t="n">
        <v>1</v>
      </c>
      <c r="I137" s="66">
        <f>I136-$K$2*T136</f>
        <v/>
      </c>
      <c r="J137" s="67">
        <f>J136-$K$2*U136</f>
        <v/>
      </c>
      <c r="K137" s="67">
        <f>K136-$K$2*V136</f>
        <v/>
      </c>
      <c r="L137" s="67">
        <f>L136-$K$2*W136</f>
        <v/>
      </c>
      <c r="M137" s="67">
        <f>M136-$K$2*X136</f>
        <v/>
      </c>
      <c r="N137" s="67">
        <f>I137+J137*C137+K137*D137+L137*E137+F137*M137</f>
        <v/>
      </c>
      <c r="O137" s="67">
        <f>1/(1+EXP(-N137))</f>
        <v/>
      </c>
      <c r="P137" s="68">
        <f>IF(O137&gt;0.5,1,0)</f>
        <v/>
      </c>
      <c r="Q137" s="68">
        <f>O137-G137</f>
        <v/>
      </c>
      <c r="R137" s="69">
        <f>Q137^2</f>
        <v/>
      </c>
      <c r="S137">
        <f>IF(P137=G137,1,0)</f>
        <v/>
      </c>
      <c r="T137">
        <f>2*(O137-G137)*(1-O137)*O137</f>
        <v/>
      </c>
      <c r="U137">
        <f>2*(O137-G137)*(1-O137)*O137*C137</f>
        <v/>
      </c>
      <c r="V137">
        <f>2*(O137-G137)*(1-O137)*O137*D137</f>
        <v/>
      </c>
      <c r="W137">
        <f>2*(O137-G137)*(1-O137)*O137*E137</f>
        <v/>
      </c>
      <c r="X137">
        <f>2*(O137-G137)*(1-O137)*O137*F137</f>
        <v/>
      </c>
    </row>
    <row r="138" ht="14.25" customHeight="1" s="96">
      <c r="A138" s="117" t="n"/>
      <c r="B138" s="66" t="n">
        <v>54</v>
      </c>
      <c r="C138" s="79" t="n">
        <v>6.1</v>
      </c>
      <c r="D138" s="67" t="n">
        <v>2.9</v>
      </c>
      <c r="E138" s="67" t="n">
        <v>4.7</v>
      </c>
      <c r="F138" s="67" t="n">
        <v>1.4</v>
      </c>
      <c r="G138" s="80" t="n">
        <v>1</v>
      </c>
      <c r="I138" s="66">
        <f>I137-$K$2*T137</f>
        <v/>
      </c>
      <c r="J138" s="67">
        <f>J137-$K$2*U137</f>
        <v/>
      </c>
      <c r="K138" s="67">
        <f>K137-$K$2*V137</f>
        <v/>
      </c>
      <c r="L138" s="67">
        <f>L137-$K$2*W137</f>
        <v/>
      </c>
      <c r="M138" s="67">
        <f>M137-$K$2*X137</f>
        <v/>
      </c>
      <c r="N138" s="67">
        <f>I138+J138*C138+K138*D138+L138*E138+F138*M138</f>
        <v/>
      </c>
      <c r="O138" s="67">
        <f>1/(1+EXP(-N138))</f>
        <v/>
      </c>
      <c r="P138" s="68">
        <f>IF(O138&gt;0.5,1,0)</f>
        <v/>
      </c>
      <c r="Q138" s="68">
        <f>O138-G138</f>
        <v/>
      </c>
      <c r="R138" s="69">
        <f>Q138^2</f>
        <v/>
      </c>
      <c r="S138">
        <f>IF(P138=G138,1,0)</f>
        <v/>
      </c>
      <c r="T138">
        <f>2*(O138-G138)*(1-O138)*O138</f>
        <v/>
      </c>
      <c r="U138">
        <f>2*(O138-G138)*(1-O138)*O138*C138</f>
        <v/>
      </c>
      <c r="V138">
        <f>2*(O138-G138)*(1-O138)*O138*D138</f>
        <v/>
      </c>
      <c r="W138">
        <f>2*(O138-G138)*(1-O138)*O138*E138</f>
        <v/>
      </c>
      <c r="X138">
        <f>2*(O138-G138)*(1-O138)*O138*F138</f>
        <v/>
      </c>
    </row>
    <row r="139" ht="14.25" customHeight="1" s="96">
      <c r="A139" s="117" t="n"/>
      <c r="B139" s="66" t="n">
        <v>55</v>
      </c>
      <c r="C139" s="79" t="n">
        <v>5.6</v>
      </c>
      <c r="D139" s="67" t="n">
        <v>2.9</v>
      </c>
      <c r="E139" s="67" t="n">
        <v>3.6</v>
      </c>
      <c r="F139" s="67" t="n">
        <v>1.3</v>
      </c>
      <c r="G139" s="80" t="n">
        <v>1</v>
      </c>
      <c r="I139" s="66">
        <f>I138-$K$2*T138</f>
        <v/>
      </c>
      <c r="J139" s="67">
        <f>J138-$K$2*U138</f>
        <v/>
      </c>
      <c r="K139" s="67">
        <f>K138-$K$2*V138</f>
        <v/>
      </c>
      <c r="L139" s="67">
        <f>L138-$K$2*W138</f>
        <v/>
      </c>
      <c r="M139" s="67">
        <f>M138-$K$2*X138</f>
        <v/>
      </c>
      <c r="N139" s="67">
        <f>I139+J139*C139+K139*D139+L139*E139+F139*M139</f>
        <v/>
      </c>
      <c r="O139" s="67">
        <f>1/(1+EXP(-N139))</f>
        <v/>
      </c>
      <c r="P139" s="68">
        <f>IF(O139&gt;0.5,1,0)</f>
        <v/>
      </c>
      <c r="Q139" s="68">
        <f>O139-G139</f>
        <v/>
      </c>
      <c r="R139" s="69">
        <f>Q139^2</f>
        <v/>
      </c>
      <c r="S139">
        <f>IF(P139=G139,1,0)</f>
        <v/>
      </c>
      <c r="T139">
        <f>2*(O139-G139)*(1-O139)*O139</f>
        <v/>
      </c>
      <c r="U139">
        <f>2*(O139-G139)*(1-O139)*O139*C139</f>
        <v/>
      </c>
      <c r="V139">
        <f>2*(O139-G139)*(1-O139)*O139*D139</f>
        <v/>
      </c>
      <c r="W139">
        <f>2*(O139-G139)*(1-O139)*O139*E139</f>
        <v/>
      </c>
      <c r="X139">
        <f>2*(O139-G139)*(1-O139)*O139*F139</f>
        <v/>
      </c>
    </row>
    <row r="140" ht="14.25" customHeight="1" s="96">
      <c r="A140" s="117" t="n"/>
      <c r="B140" s="66" t="n">
        <v>56</v>
      </c>
      <c r="C140" s="79" t="n">
        <v>6.7</v>
      </c>
      <c r="D140" s="67" t="n">
        <v>3.1</v>
      </c>
      <c r="E140" s="67" t="n">
        <v>4.4</v>
      </c>
      <c r="F140" s="67" t="n">
        <v>1.4</v>
      </c>
      <c r="G140" s="80" t="n">
        <v>1</v>
      </c>
      <c r="I140" s="66">
        <f>I139-$K$2*T139</f>
        <v/>
      </c>
      <c r="J140" s="67">
        <f>J139-$K$2*U139</f>
        <v/>
      </c>
      <c r="K140" s="67">
        <f>K139-$K$2*V139</f>
        <v/>
      </c>
      <c r="L140" s="67">
        <f>L139-$K$2*W139</f>
        <v/>
      </c>
      <c r="M140" s="67">
        <f>M139-$K$2*X139</f>
        <v/>
      </c>
      <c r="N140" s="67">
        <f>I140+J140*C140+K140*D140+L140*E140+F140*M140</f>
        <v/>
      </c>
      <c r="O140" s="67">
        <f>1/(1+EXP(-N140))</f>
        <v/>
      </c>
      <c r="P140" s="68">
        <f>IF(O140&gt;0.5,1,0)</f>
        <v/>
      </c>
      <c r="Q140" s="68">
        <f>O140-G140</f>
        <v/>
      </c>
      <c r="R140" s="69">
        <f>Q140^2</f>
        <v/>
      </c>
      <c r="S140">
        <f>IF(P140=G140,1,0)</f>
        <v/>
      </c>
      <c r="T140">
        <f>2*(O140-G140)*(1-O140)*O140</f>
        <v/>
      </c>
      <c r="U140">
        <f>2*(O140-G140)*(1-O140)*O140*C140</f>
        <v/>
      </c>
      <c r="V140">
        <f>2*(O140-G140)*(1-O140)*O140*D140</f>
        <v/>
      </c>
      <c r="W140">
        <f>2*(O140-G140)*(1-O140)*O140*E140</f>
        <v/>
      </c>
      <c r="X140">
        <f>2*(O140-G140)*(1-O140)*O140*F140</f>
        <v/>
      </c>
    </row>
    <row r="141" ht="14.25" customHeight="1" s="96">
      <c r="A141" s="117" t="n"/>
      <c r="B141" s="66" t="n">
        <v>57</v>
      </c>
      <c r="C141" s="79" t="n">
        <v>5.6</v>
      </c>
      <c r="D141" s="67" t="n">
        <v>3</v>
      </c>
      <c r="E141" s="67" t="n">
        <v>4.5</v>
      </c>
      <c r="F141" s="67" t="n">
        <v>1.5</v>
      </c>
      <c r="G141" s="80" t="n">
        <v>1</v>
      </c>
      <c r="I141" s="66">
        <f>I140-$K$2*T140</f>
        <v/>
      </c>
      <c r="J141" s="67">
        <f>J140-$K$2*U140</f>
        <v/>
      </c>
      <c r="K141" s="67">
        <f>K140-$K$2*V140</f>
        <v/>
      </c>
      <c r="L141" s="67">
        <f>L140-$K$2*W140</f>
        <v/>
      </c>
      <c r="M141" s="67">
        <f>M140-$K$2*X140</f>
        <v/>
      </c>
      <c r="N141" s="67">
        <f>I141+J141*C141+K141*D141+L141*E141+F141*M141</f>
        <v/>
      </c>
      <c r="O141" s="67">
        <f>1/(1+EXP(-N141))</f>
        <v/>
      </c>
      <c r="P141" s="68">
        <f>IF(O141&gt;0.5,1,0)</f>
        <v/>
      </c>
      <c r="Q141" s="68">
        <f>O141-G141</f>
        <v/>
      </c>
      <c r="R141" s="69">
        <f>Q141^2</f>
        <v/>
      </c>
      <c r="S141">
        <f>IF(P141=G141,1,0)</f>
        <v/>
      </c>
      <c r="T141">
        <f>2*(O141-G141)*(1-O141)*O141</f>
        <v/>
      </c>
      <c r="U141">
        <f>2*(O141-G141)*(1-O141)*O141*C141</f>
        <v/>
      </c>
      <c r="V141">
        <f>2*(O141-G141)*(1-O141)*O141*D141</f>
        <v/>
      </c>
      <c r="W141">
        <f>2*(O141-G141)*(1-O141)*O141*E141</f>
        <v/>
      </c>
      <c r="X141">
        <f>2*(O141-G141)*(1-O141)*O141*F141</f>
        <v/>
      </c>
    </row>
    <row r="142" ht="14.25" customHeight="1" s="96">
      <c r="A142" s="117" t="n"/>
      <c r="B142" s="66" t="n">
        <v>58</v>
      </c>
      <c r="C142" s="79" t="n">
        <v>5.8</v>
      </c>
      <c r="D142" s="67" t="n">
        <v>2.7</v>
      </c>
      <c r="E142" s="67" t="n">
        <v>4.1</v>
      </c>
      <c r="F142" s="67" t="n">
        <v>1</v>
      </c>
      <c r="G142" s="80" t="n">
        <v>1</v>
      </c>
      <c r="I142" s="66">
        <f>I141-$K$2*T141</f>
        <v/>
      </c>
      <c r="J142" s="67">
        <f>J141-$K$2*U141</f>
        <v/>
      </c>
      <c r="K142" s="67">
        <f>K141-$K$2*V141</f>
        <v/>
      </c>
      <c r="L142" s="67">
        <f>L141-$K$2*W141</f>
        <v/>
      </c>
      <c r="M142" s="67">
        <f>M141-$K$2*X141</f>
        <v/>
      </c>
      <c r="N142" s="67">
        <f>I142+J142*C142+K142*D142+L142*E142+F142*M142</f>
        <v/>
      </c>
      <c r="O142" s="67">
        <f>1/(1+EXP(-N142))</f>
        <v/>
      </c>
      <c r="P142" s="68">
        <f>IF(O142&gt;0.5,1,0)</f>
        <v/>
      </c>
      <c r="Q142" s="68">
        <f>O142-G142</f>
        <v/>
      </c>
      <c r="R142" s="69">
        <f>Q142^2</f>
        <v/>
      </c>
      <c r="S142">
        <f>IF(P142=G142,1,0)</f>
        <v/>
      </c>
      <c r="T142">
        <f>2*(O142-G142)*(1-O142)*O142</f>
        <v/>
      </c>
      <c r="U142">
        <f>2*(O142-G142)*(1-O142)*O142*C142</f>
        <v/>
      </c>
      <c r="V142">
        <f>2*(O142-G142)*(1-O142)*O142*D142</f>
        <v/>
      </c>
      <c r="W142">
        <f>2*(O142-G142)*(1-O142)*O142*E142</f>
        <v/>
      </c>
      <c r="X142">
        <f>2*(O142-G142)*(1-O142)*O142*F142</f>
        <v/>
      </c>
    </row>
    <row r="143" ht="14.25" customHeight="1" s="96">
      <c r="A143" s="117" t="n"/>
      <c r="B143" s="66" t="n">
        <v>59</v>
      </c>
      <c r="C143" s="79" t="n">
        <v>6.2</v>
      </c>
      <c r="D143" s="67" t="n">
        <v>2.2</v>
      </c>
      <c r="E143" s="67" t="n">
        <v>4.5</v>
      </c>
      <c r="F143" s="67" t="n">
        <v>1.5</v>
      </c>
      <c r="G143" s="80" t="n">
        <v>1</v>
      </c>
      <c r="I143" s="66">
        <f>I142-$K$2*T142</f>
        <v/>
      </c>
      <c r="J143" s="67">
        <f>J142-$K$2*U142</f>
        <v/>
      </c>
      <c r="K143" s="67">
        <f>K142-$K$2*V142</f>
        <v/>
      </c>
      <c r="L143" s="67">
        <f>L142-$K$2*W142</f>
        <v/>
      </c>
      <c r="M143" s="67">
        <f>M142-$K$2*X142</f>
        <v/>
      </c>
      <c r="N143" s="67">
        <f>I143+J143*C143+K143*D143+L143*E143+F143*M143</f>
        <v/>
      </c>
      <c r="O143" s="67">
        <f>1/(1+EXP(-N143))</f>
        <v/>
      </c>
      <c r="P143" s="68">
        <f>IF(O143&gt;0.5,1,0)</f>
        <v/>
      </c>
      <c r="Q143" s="68">
        <f>O143-G143</f>
        <v/>
      </c>
      <c r="R143" s="69">
        <f>Q143^2</f>
        <v/>
      </c>
      <c r="S143">
        <f>IF(P143=G143,1,0)</f>
        <v/>
      </c>
      <c r="T143">
        <f>2*(O143-G143)*(1-O143)*O143</f>
        <v/>
      </c>
      <c r="U143">
        <f>2*(O143-G143)*(1-O143)*O143*C143</f>
        <v/>
      </c>
      <c r="V143">
        <f>2*(O143-G143)*(1-O143)*O143*D143</f>
        <v/>
      </c>
      <c r="W143">
        <f>2*(O143-G143)*(1-O143)*O143*E143</f>
        <v/>
      </c>
      <c r="X143">
        <f>2*(O143-G143)*(1-O143)*O143*F143</f>
        <v/>
      </c>
    </row>
    <row r="144" ht="14.25" customHeight="1" s="96">
      <c r="A144" s="117" t="n"/>
      <c r="B144" s="66" t="n">
        <v>60</v>
      </c>
      <c r="C144" s="79" t="n">
        <v>5.6</v>
      </c>
      <c r="D144" s="67" t="n">
        <v>2.5</v>
      </c>
      <c r="E144" s="67" t="n">
        <v>3.9</v>
      </c>
      <c r="F144" s="67" t="n">
        <v>1.1</v>
      </c>
      <c r="G144" s="80" t="n">
        <v>1</v>
      </c>
      <c r="I144" s="66">
        <f>I143-$K$2*T143</f>
        <v/>
      </c>
      <c r="J144" s="67">
        <f>J143-$K$2*U143</f>
        <v/>
      </c>
      <c r="K144" s="67">
        <f>K143-$K$2*V143</f>
        <v/>
      </c>
      <c r="L144" s="67">
        <f>L143-$K$2*W143</f>
        <v/>
      </c>
      <c r="M144" s="67">
        <f>M143-$K$2*X143</f>
        <v/>
      </c>
      <c r="N144" s="67">
        <f>I144+J144*C144+K144*D144+L144*E144+F144*M144</f>
        <v/>
      </c>
      <c r="O144" s="67">
        <f>1/(1+EXP(-N144))</f>
        <v/>
      </c>
      <c r="P144" s="68">
        <f>IF(O144&gt;0.5,1,0)</f>
        <v/>
      </c>
      <c r="Q144" s="68">
        <f>O144-G144</f>
        <v/>
      </c>
      <c r="R144" s="69">
        <f>Q144^2</f>
        <v/>
      </c>
      <c r="S144">
        <f>IF(P144=G144,1,0)</f>
        <v/>
      </c>
      <c r="T144">
        <f>2*(O144-G144)*(1-O144)*O144</f>
        <v/>
      </c>
      <c r="U144">
        <f>2*(O144-G144)*(1-O144)*O144*C144</f>
        <v/>
      </c>
      <c r="V144">
        <f>2*(O144-G144)*(1-O144)*O144*D144</f>
        <v/>
      </c>
      <c r="W144">
        <f>2*(O144-G144)*(1-O144)*O144*E144</f>
        <v/>
      </c>
      <c r="X144">
        <f>2*(O144-G144)*(1-O144)*O144*F144</f>
        <v/>
      </c>
    </row>
    <row r="145" ht="14.25" customHeight="1" s="96">
      <c r="A145" s="117" t="n"/>
      <c r="B145" s="66" t="n">
        <v>61</v>
      </c>
      <c r="C145" s="79" t="n">
        <v>5.9</v>
      </c>
      <c r="D145" s="67" t="n">
        <v>3.2</v>
      </c>
      <c r="E145" s="67" t="n">
        <v>4.8</v>
      </c>
      <c r="F145" s="67" t="n">
        <v>1.8</v>
      </c>
      <c r="G145" s="80" t="n">
        <v>1</v>
      </c>
      <c r="I145" s="66">
        <f>I144-$K$2*T144</f>
        <v/>
      </c>
      <c r="J145" s="67">
        <f>J144-$K$2*U144</f>
        <v/>
      </c>
      <c r="K145" s="67">
        <f>K144-$K$2*V144</f>
        <v/>
      </c>
      <c r="L145" s="67">
        <f>L144-$K$2*W144</f>
        <v/>
      </c>
      <c r="M145" s="67">
        <f>M144-$K$2*X144</f>
        <v/>
      </c>
      <c r="N145" s="67">
        <f>I145+J145*C145+K145*D145+L145*E145+F145*M145</f>
        <v/>
      </c>
      <c r="O145" s="67">
        <f>1/(1+EXP(-N145))</f>
        <v/>
      </c>
      <c r="P145" s="68">
        <f>IF(O145&gt;0.5,1,0)</f>
        <v/>
      </c>
      <c r="Q145" s="68">
        <f>O145-G145</f>
        <v/>
      </c>
      <c r="R145" s="69">
        <f>Q145^2</f>
        <v/>
      </c>
      <c r="S145">
        <f>IF(P145=G145,1,0)</f>
        <v/>
      </c>
      <c r="T145">
        <f>2*(O145-G145)*(1-O145)*O145</f>
        <v/>
      </c>
      <c r="U145">
        <f>2*(O145-G145)*(1-O145)*O145*C145</f>
        <v/>
      </c>
      <c r="V145">
        <f>2*(O145-G145)*(1-O145)*O145*D145</f>
        <v/>
      </c>
      <c r="W145">
        <f>2*(O145-G145)*(1-O145)*O145*E145</f>
        <v/>
      </c>
      <c r="X145">
        <f>2*(O145-G145)*(1-O145)*O145*F145</f>
        <v/>
      </c>
    </row>
    <row r="146" ht="14.25" customHeight="1" s="96">
      <c r="A146" s="117" t="n"/>
      <c r="B146" s="66" t="n">
        <v>62</v>
      </c>
      <c r="C146" s="79" t="n">
        <v>6.1</v>
      </c>
      <c r="D146" s="67" t="n">
        <v>2.8</v>
      </c>
      <c r="E146" s="67" t="n">
        <v>4</v>
      </c>
      <c r="F146" s="67" t="n">
        <v>1.3</v>
      </c>
      <c r="G146" s="80" t="n">
        <v>1</v>
      </c>
      <c r="I146" s="66">
        <f>I145-$K$2*T145</f>
        <v/>
      </c>
      <c r="J146" s="67">
        <f>J145-$K$2*U145</f>
        <v/>
      </c>
      <c r="K146" s="67">
        <f>K145-$K$2*V145</f>
        <v/>
      </c>
      <c r="L146" s="67">
        <f>L145-$K$2*W145</f>
        <v/>
      </c>
      <c r="M146" s="67">
        <f>M145-$K$2*X145</f>
        <v/>
      </c>
      <c r="N146" s="67">
        <f>I146+J146*C146+K146*D146+L146*E146+F146*M146</f>
        <v/>
      </c>
      <c r="O146" s="67">
        <f>1/(1+EXP(-N146))</f>
        <v/>
      </c>
      <c r="P146" s="68">
        <f>IF(O146&gt;0.5,1,0)</f>
        <v/>
      </c>
      <c r="Q146" s="68">
        <f>O146-G146</f>
        <v/>
      </c>
      <c r="R146" s="69">
        <f>Q146^2</f>
        <v/>
      </c>
      <c r="S146">
        <f>IF(P146=G146,1,0)</f>
        <v/>
      </c>
      <c r="T146">
        <f>2*(O146-G146)*(1-O146)*O146</f>
        <v/>
      </c>
      <c r="U146">
        <f>2*(O146-G146)*(1-O146)*O146*C146</f>
        <v/>
      </c>
      <c r="V146">
        <f>2*(O146-G146)*(1-O146)*O146*D146</f>
        <v/>
      </c>
      <c r="W146">
        <f>2*(O146-G146)*(1-O146)*O146*E146</f>
        <v/>
      </c>
      <c r="X146">
        <f>2*(O146-G146)*(1-O146)*O146*F146</f>
        <v/>
      </c>
    </row>
    <row r="147" ht="14.25" customHeight="1" s="96">
      <c r="A147" s="117" t="n"/>
      <c r="B147" s="66" t="n">
        <v>63</v>
      </c>
      <c r="C147" s="79" t="n">
        <v>6.3</v>
      </c>
      <c r="D147" s="67" t="n">
        <v>2.5</v>
      </c>
      <c r="E147" s="67" t="n">
        <v>4.9</v>
      </c>
      <c r="F147" s="67" t="n">
        <v>1.5</v>
      </c>
      <c r="G147" s="80" t="n">
        <v>1</v>
      </c>
      <c r="I147" s="66">
        <f>I146-$K$2*T146</f>
        <v/>
      </c>
      <c r="J147" s="67">
        <f>J146-$K$2*U146</f>
        <v/>
      </c>
      <c r="K147" s="67">
        <f>K146-$K$2*V146</f>
        <v/>
      </c>
      <c r="L147" s="67">
        <f>L146-$K$2*W146</f>
        <v/>
      </c>
      <c r="M147" s="67">
        <f>M146-$K$2*X146</f>
        <v/>
      </c>
      <c r="N147" s="67">
        <f>I147+J147*C147+K147*D147+L147*E147+F147*M147</f>
        <v/>
      </c>
      <c r="O147" s="67">
        <f>1/(1+EXP(-N147))</f>
        <v/>
      </c>
      <c r="P147" s="68">
        <f>IF(O147&gt;0.5,1,0)</f>
        <v/>
      </c>
      <c r="Q147" s="68">
        <f>O147-G147</f>
        <v/>
      </c>
      <c r="R147" s="69">
        <f>Q147^2</f>
        <v/>
      </c>
      <c r="S147">
        <f>IF(P147=G147,1,0)</f>
        <v/>
      </c>
      <c r="T147">
        <f>2*(O147-G147)*(1-O147)*O147</f>
        <v/>
      </c>
      <c r="U147">
        <f>2*(O147-G147)*(1-O147)*O147*C147</f>
        <v/>
      </c>
      <c r="V147">
        <f>2*(O147-G147)*(1-O147)*O147*D147</f>
        <v/>
      </c>
      <c r="W147">
        <f>2*(O147-G147)*(1-O147)*O147*E147</f>
        <v/>
      </c>
      <c r="X147">
        <f>2*(O147-G147)*(1-O147)*O147*F147</f>
        <v/>
      </c>
    </row>
    <row r="148" ht="14.25" customHeight="1" s="96">
      <c r="A148" s="117" t="n"/>
      <c r="B148" s="66" t="n">
        <v>64</v>
      </c>
      <c r="C148" s="79" t="n">
        <v>6.1</v>
      </c>
      <c r="D148" s="67" t="n">
        <v>2.8</v>
      </c>
      <c r="E148" s="67" t="n">
        <v>4.7</v>
      </c>
      <c r="F148" s="67" t="n">
        <v>1.2</v>
      </c>
      <c r="G148" s="80" t="n">
        <v>1</v>
      </c>
      <c r="I148" s="66">
        <f>I147-$K$2*T147</f>
        <v/>
      </c>
      <c r="J148" s="67">
        <f>J147-$K$2*U147</f>
        <v/>
      </c>
      <c r="K148" s="67">
        <f>K147-$K$2*V147</f>
        <v/>
      </c>
      <c r="L148" s="67">
        <f>L147-$K$2*W147</f>
        <v/>
      </c>
      <c r="M148" s="67">
        <f>M147-$K$2*X147</f>
        <v/>
      </c>
      <c r="N148" s="67">
        <f>I148+J148*C148+K148*D148+L148*E148+F148*M148</f>
        <v/>
      </c>
      <c r="O148" s="67">
        <f>1/(1+EXP(-N148))</f>
        <v/>
      </c>
      <c r="P148" s="68">
        <f>IF(O148&gt;0.5,1,0)</f>
        <v/>
      </c>
      <c r="Q148" s="68">
        <f>O148-G148</f>
        <v/>
      </c>
      <c r="R148" s="69">
        <f>Q148^2</f>
        <v/>
      </c>
      <c r="S148">
        <f>IF(P148=G148,1,0)</f>
        <v/>
      </c>
      <c r="T148">
        <f>2*(O148-G148)*(1-O148)*O148</f>
        <v/>
      </c>
      <c r="U148">
        <f>2*(O148-G148)*(1-O148)*O148*C148</f>
        <v/>
      </c>
      <c r="V148">
        <f>2*(O148-G148)*(1-O148)*O148*D148</f>
        <v/>
      </c>
      <c r="W148">
        <f>2*(O148-G148)*(1-O148)*O148*E148</f>
        <v/>
      </c>
      <c r="X148">
        <f>2*(O148-G148)*(1-O148)*O148*F148</f>
        <v/>
      </c>
    </row>
    <row r="149" ht="14.25" customHeight="1" s="96">
      <c r="A149" s="117" t="n"/>
      <c r="B149" s="66" t="n">
        <v>65</v>
      </c>
      <c r="C149" s="79" t="n">
        <v>6.4</v>
      </c>
      <c r="D149" s="67" t="n">
        <v>2.9</v>
      </c>
      <c r="E149" s="67" t="n">
        <v>4.3</v>
      </c>
      <c r="F149" s="67" t="n">
        <v>1.3</v>
      </c>
      <c r="G149" s="80" t="n">
        <v>1</v>
      </c>
      <c r="I149" s="66">
        <f>I148-$K$2*T148</f>
        <v/>
      </c>
      <c r="J149" s="67">
        <f>J148-$K$2*U148</f>
        <v/>
      </c>
      <c r="K149" s="67">
        <f>K148-$K$2*V148</f>
        <v/>
      </c>
      <c r="L149" s="67">
        <f>L148-$K$2*W148</f>
        <v/>
      </c>
      <c r="M149" s="67">
        <f>M148-$K$2*X148</f>
        <v/>
      </c>
      <c r="N149" s="67">
        <f>I149+J149*C149+K149*D149+L149*E149+F149*M149</f>
        <v/>
      </c>
      <c r="O149" s="67">
        <f>1/(1+EXP(-N149))</f>
        <v/>
      </c>
      <c r="P149" s="68">
        <f>IF(O149&gt;0.5,1,0)</f>
        <v/>
      </c>
      <c r="Q149" s="68">
        <f>O149-G149</f>
        <v/>
      </c>
      <c r="R149" s="69">
        <f>Q149^2</f>
        <v/>
      </c>
      <c r="S149">
        <f>IF(P149=G149,1,0)</f>
        <v/>
      </c>
      <c r="T149">
        <f>2*(O149-G149)*(1-O149)*O149</f>
        <v/>
      </c>
      <c r="U149">
        <f>2*(O149-G149)*(1-O149)*O149*C149</f>
        <v/>
      </c>
      <c r="V149">
        <f>2*(O149-G149)*(1-O149)*O149*D149</f>
        <v/>
      </c>
      <c r="W149">
        <f>2*(O149-G149)*(1-O149)*O149*E149</f>
        <v/>
      </c>
      <c r="X149">
        <f>2*(O149-G149)*(1-O149)*O149*F149</f>
        <v/>
      </c>
    </row>
    <row r="150" ht="14.25" customHeight="1" s="96">
      <c r="A150" s="117" t="n"/>
      <c r="B150" s="66" t="n">
        <v>66</v>
      </c>
      <c r="C150" s="79" t="n">
        <v>6.6</v>
      </c>
      <c r="D150" s="67" t="n">
        <v>3</v>
      </c>
      <c r="E150" s="67" t="n">
        <v>4.4</v>
      </c>
      <c r="F150" s="67" t="n">
        <v>1.4</v>
      </c>
      <c r="G150" s="80" t="n">
        <v>1</v>
      </c>
      <c r="I150" s="66">
        <f>I149-$K$2*T149</f>
        <v/>
      </c>
      <c r="J150" s="67">
        <f>J149-$K$2*U149</f>
        <v/>
      </c>
      <c r="K150" s="67">
        <f>K149-$K$2*V149</f>
        <v/>
      </c>
      <c r="L150" s="67">
        <f>L149-$K$2*W149</f>
        <v/>
      </c>
      <c r="M150" s="67">
        <f>M149-$K$2*X149</f>
        <v/>
      </c>
      <c r="N150" s="67">
        <f>I150+J150*C150+K150*D150+L150*E150+F150*M150</f>
        <v/>
      </c>
      <c r="O150" s="67">
        <f>1/(1+EXP(-N150))</f>
        <v/>
      </c>
      <c r="P150" s="68">
        <f>IF(O150&gt;0.5,1,0)</f>
        <v/>
      </c>
      <c r="Q150" s="68">
        <f>O150-G150</f>
        <v/>
      </c>
      <c r="R150" s="69">
        <f>Q150^2</f>
        <v/>
      </c>
      <c r="S150">
        <f>IF(P150=G150,1,0)</f>
        <v/>
      </c>
      <c r="T150">
        <f>2*(O150-G150)*(1-O150)*O150</f>
        <v/>
      </c>
      <c r="U150">
        <f>2*(O150-G150)*(1-O150)*O150*C150</f>
        <v/>
      </c>
      <c r="V150">
        <f>2*(O150-G150)*(1-O150)*O150*D150</f>
        <v/>
      </c>
      <c r="W150">
        <f>2*(O150-G150)*(1-O150)*O150*E150</f>
        <v/>
      </c>
      <c r="X150">
        <f>2*(O150-G150)*(1-O150)*O150*F150</f>
        <v/>
      </c>
    </row>
    <row r="151" ht="14.25" customHeight="1" s="96">
      <c r="A151" s="117" t="n"/>
      <c r="B151" s="66" t="n">
        <v>67</v>
      </c>
      <c r="C151" s="79" t="n">
        <v>6.8</v>
      </c>
      <c r="D151" s="67" t="n">
        <v>2.8</v>
      </c>
      <c r="E151" s="67" t="n">
        <v>4.8</v>
      </c>
      <c r="F151" s="67" t="n">
        <v>1.4</v>
      </c>
      <c r="G151" s="80" t="n">
        <v>1</v>
      </c>
      <c r="I151" s="66">
        <f>I150-$K$2*T150</f>
        <v/>
      </c>
      <c r="J151" s="67">
        <f>J150-$K$2*U150</f>
        <v/>
      </c>
      <c r="K151" s="67">
        <f>K150-$K$2*V150</f>
        <v/>
      </c>
      <c r="L151" s="67">
        <f>L150-$K$2*W150</f>
        <v/>
      </c>
      <c r="M151" s="67">
        <f>M150-$K$2*X150</f>
        <v/>
      </c>
      <c r="N151" s="67">
        <f>I151+J151*C151+K151*D151+L151*E151+F151*M151</f>
        <v/>
      </c>
      <c r="O151" s="67">
        <f>1/(1+EXP(-N151))</f>
        <v/>
      </c>
      <c r="P151" s="68">
        <f>IF(O151&gt;0.5,1,0)</f>
        <v/>
      </c>
      <c r="Q151" s="68">
        <f>O151-G151</f>
        <v/>
      </c>
      <c r="R151" s="69">
        <f>Q151^2</f>
        <v/>
      </c>
      <c r="S151">
        <f>IF(P151=G151,1,0)</f>
        <v/>
      </c>
      <c r="T151">
        <f>2*(O151-G151)*(1-O151)*O151</f>
        <v/>
      </c>
      <c r="U151">
        <f>2*(O151-G151)*(1-O151)*O151*C151</f>
        <v/>
      </c>
      <c r="V151">
        <f>2*(O151-G151)*(1-O151)*O151*D151</f>
        <v/>
      </c>
      <c r="W151">
        <f>2*(O151-G151)*(1-O151)*O151*E151</f>
        <v/>
      </c>
      <c r="X151">
        <f>2*(O151-G151)*(1-O151)*O151*F151</f>
        <v/>
      </c>
    </row>
    <row r="152" ht="14.25" customHeight="1" s="96">
      <c r="A152" s="117" t="n"/>
      <c r="B152" s="66" t="n">
        <v>68</v>
      </c>
      <c r="C152" s="79" t="n">
        <v>6.7</v>
      </c>
      <c r="D152" s="67" t="n">
        <v>3</v>
      </c>
      <c r="E152" s="67" t="n">
        <v>5</v>
      </c>
      <c r="F152" s="67" t="n">
        <v>1.7</v>
      </c>
      <c r="G152" s="80" t="n">
        <v>1</v>
      </c>
      <c r="I152" s="66">
        <f>I151-$K$2*T151</f>
        <v/>
      </c>
      <c r="J152" s="67">
        <f>J151-$K$2*U151</f>
        <v/>
      </c>
      <c r="K152" s="67">
        <f>K151-$K$2*V151</f>
        <v/>
      </c>
      <c r="L152" s="67">
        <f>L151-$K$2*W151</f>
        <v/>
      </c>
      <c r="M152" s="67">
        <f>M151-$K$2*X151</f>
        <v/>
      </c>
      <c r="N152" s="67">
        <f>I152+J152*C152+K152*D152+L152*E152+F152*M152</f>
        <v/>
      </c>
      <c r="O152" s="67">
        <f>1/(1+EXP(-N152))</f>
        <v/>
      </c>
      <c r="P152" s="68">
        <f>IF(O152&gt;0.5,1,0)</f>
        <v/>
      </c>
      <c r="Q152" s="68">
        <f>O152-G152</f>
        <v/>
      </c>
      <c r="R152" s="69">
        <f>Q152^2</f>
        <v/>
      </c>
      <c r="S152">
        <f>IF(P152=G152,1,0)</f>
        <v/>
      </c>
      <c r="T152">
        <f>2*(O152-G152)*(1-O152)*O152</f>
        <v/>
      </c>
      <c r="U152">
        <f>2*(O152-G152)*(1-O152)*O152*C152</f>
        <v/>
      </c>
      <c r="V152">
        <f>2*(O152-G152)*(1-O152)*O152*D152</f>
        <v/>
      </c>
      <c r="W152">
        <f>2*(O152-G152)*(1-O152)*O152*E152</f>
        <v/>
      </c>
      <c r="X152">
        <f>2*(O152-G152)*(1-O152)*O152*F152</f>
        <v/>
      </c>
    </row>
    <row r="153" ht="14.25" customHeight="1" s="96">
      <c r="A153" s="117" t="n"/>
      <c r="B153" s="66" t="n">
        <v>69</v>
      </c>
      <c r="C153" s="79" t="n">
        <v>6</v>
      </c>
      <c r="D153" s="67" t="n">
        <v>2.9</v>
      </c>
      <c r="E153" s="67" t="n">
        <v>4.5</v>
      </c>
      <c r="F153" s="67" t="n">
        <v>1.5</v>
      </c>
      <c r="G153" s="80" t="n">
        <v>1</v>
      </c>
      <c r="I153" s="66">
        <f>I152-$K$2*T152</f>
        <v/>
      </c>
      <c r="J153" s="67">
        <f>J152-$K$2*U152</f>
        <v/>
      </c>
      <c r="K153" s="67">
        <f>K152-$K$2*V152</f>
        <v/>
      </c>
      <c r="L153" s="67">
        <f>L152-$K$2*W152</f>
        <v/>
      </c>
      <c r="M153" s="67">
        <f>M152-$K$2*X152</f>
        <v/>
      </c>
      <c r="N153" s="67">
        <f>I153+J153*C153+K153*D153+L153*E153+F153*M153</f>
        <v/>
      </c>
      <c r="O153" s="67">
        <f>1/(1+EXP(-N153))</f>
        <v/>
      </c>
      <c r="P153" s="68">
        <f>IF(O153&gt;0.5,1,0)</f>
        <v/>
      </c>
      <c r="Q153" s="68">
        <f>O153-G153</f>
        <v/>
      </c>
      <c r="R153" s="69">
        <f>Q153^2</f>
        <v/>
      </c>
      <c r="S153">
        <f>IF(P153=G153,1,0)</f>
        <v/>
      </c>
      <c r="T153">
        <f>2*(O153-G153)*(1-O153)*O153</f>
        <v/>
      </c>
      <c r="U153">
        <f>2*(O153-G153)*(1-O153)*O153*C153</f>
        <v/>
      </c>
      <c r="V153">
        <f>2*(O153-G153)*(1-O153)*O153*D153</f>
        <v/>
      </c>
      <c r="W153">
        <f>2*(O153-G153)*(1-O153)*O153*E153</f>
        <v/>
      </c>
      <c r="X153">
        <f>2*(O153-G153)*(1-O153)*O153*F153</f>
        <v/>
      </c>
    </row>
    <row r="154" ht="14.25" customHeight="1" s="96">
      <c r="A154" s="117" t="n"/>
      <c r="B154" s="66" t="n">
        <v>70</v>
      </c>
      <c r="C154" s="79" t="n">
        <v>5.7</v>
      </c>
      <c r="D154" s="67" t="n">
        <v>2.6</v>
      </c>
      <c r="E154" s="67" t="n">
        <v>3.5</v>
      </c>
      <c r="F154" s="67" t="n">
        <v>1</v>
      </c>
      <c r="G154" s="80" t="n">
        <v>1</v>
      </c>
      <c r="I154" s="66">
        <f>I153-$K$2*T153</f>
        <v/>
      </c>
      <c r="J154" s="67">
        <f>J153-$K$2*U153</f>
        <v/>
      </c>
      <c r="K154" s="67">
        <f>K153-$K$2*V153</f>
        <v/>
      </c>
      <c r="L154" s="67">
        <f>L153-$K$2*W153</f>
        <v/>
      </c>
      <c r="M154" s="67">
        <f>M153-$K$2*X153</f>
        <v/>
      </c>
      <c r="N154" s="67">
        <f>I154+J154*C154+K154*D154+L154*E154+F154*M154</f>
        <v/>
      </c>
      <c r="O154" s="67">
        <f>1/(1+EXP(-N154))</f>
        <v/>
      </c>
      <c r="P154" s="68">
        <f>IF(O154&gt;0.5,1,0)</f>
        <v/>
      </c>
      <c r="Q154" s="68">
        <f>O154-G154</f>
        <v/>
      </c>
      <c r="R154" s="69">
        <f>Q154^2</f>
        <v/>
      </c>
      <c r="S154">
        <f>IF(P154=G154,1,0)</f>
        <v/>
      </c>
      <c r="T154">
        <f>2*(O154-G154)*(1-O154)*O154</f>
        <v/>
      </c>
      <c r="U154">
        <f>2*(O154-G154)*(1-O154)*O154*C154</f>
        <v/>
      </c>
      <c r="V154">
        <f>2*(O154-G154)*(1-O154)*O154*D154</f>
        <v/>
      </c>
      <c r="W154">
        <f>2*(O154-G154)*(1-O154)*O154*E154</f>
        <v/>
      </c>
      <c r="X154">
        <f>2*(O154-G154)*(1-O154)*O154*F154</f>
        <v/>
      </c>
    </row>
    <row r="155" ht="14.25" customHeight="1" s="96">
      <c r="A155" s="117" t="n"/>
      <c r="B155" s="66" t="n">
        <v>71</v>
      </c>
      <c r="C155" s="79" t="n">
        <v>5.5</v>
      </c>
      <c r="D155" s="67" t="n">
        <v>2.4</v>
      </c>
      <c r="E155" s="67" t="n">
        <v>3.8</v>
      </c>
      <c r="F155" s="67" t="n">
        <v>1.1</v>
      </c>
      <c r="G155" s="80" t="n">
        <v>1</v>
      </c>
      <c r="I155" s="66">
        <f>I154-$K$2*T154</f>
        <v/>
      </c>
      <c r="J155" s="67">
        <f>J154-$K$2*U154</f>
        <v/>
      </c>
      <c r="K155" s="67">
        <f>K154-$K$2*V154</f>
        <v/>
      </c>
      <c r="L155" s="67">
        <f>L154-$K$2*W154</f>
        <v/>
      </c>
      <c r="M155" s="67">
        <f>M154-$K$2*X154</f>
        <v/>
      </c>
      <c r="N155" s="67">
        <f>I155+J155*C155+K155*D155+L155*E155+F155*M155</f>
        <v/>
      </c>
      <c r="O155" s="67">
        <f>1/(1+EXP(-N155))</f>
        <v/>
      </c>
      <c r="P155" s="68">
        <f>IF(O155&gt;0.5,1,0)</f>
        <v/>
      </c>
      <c r="Q155" s="68">
        <f>O155-G155</f>
        <v/>
      </c>
      <c r="R155" s="69">
        <f>Q155^2</f>
        <v/>
      </c>
      <c r="S155">
        <f>IF(P155=G155,1,0)</f>
        <v/>
      </c>
      <c r="T155">
        <f>2*(O155-G155)*(1-O155)*O155</f>
        <v/>
      </c>
      <c r="U155">
        <f>2*(O155-G155)*(1-O155)*O155*C155</f>
        <v/>
      </c>
      <c r="V155">
        <f>2*(O155-G155)*(1-O155)*O155*D155</f>
        <v/>
      </c>
      <c r="W155">
        <f>2*(O155-G155)*(1-O155)*O155*E155</f>
        <v/>
      </c>
      <c r="X155">
        <f>2*(O155-G155)*(1-O155)*O155*F155</f>
        <v/>
      </c>
    </row>
    <row r="156" ht="14.25" customHeight="1" s="96">
      <c r="A156" s="117" t="n"/>
      <c r="B156" s="66" t="n">
        <v>72</v>
      </c>
      <c r="C156" s="79" t="n">
        <v>5.5</v>
      </c>
      <c r="D156" s="67" t="n">
        <v>2.4</v>
      </c>
      <c r="E156" s="67" t="n">
        <v>3.7</v>
      </c>
      <c r="F156" s="67" t="n">
        <v>1</v>
      </c>
      <c r="G156" s="80" t="n">
        <v>1</v>
      </c>
      <c r="I156" s="66">
        <f>I155-$K$2*T155</f>
        <v/>
      </c>
      <c r="J156" s="67">
        <f>J155-$K$2*U155</f>
        <v/>
      </c>
      <c r="K156" s="67">
        <f>K155-$K$2*V155</f>
        <v/>
      </c>
      <c r="L156" s="67">
        <f>L155-$K$2*W155</f>
        <v/>
      </c>
      <c r="M156" s="67">
        <f>M155-$K$2*X155</f>
        <v/>
      </c>
      <c r="N156" s="67">
        <f>I156+J156*C156+K156*D156+L156*E156+F156*M156</f>
        <v/>
      </c>
      <c r="O156" s="67">
        <f>1/(1+EXP(-N156))</f>
        <v/>
      </c>
      <c r="P156" s="68">
        <f>IF(O156&gt;0.5,1,0)</f>
        <v/>
      </c>
      <c r="Q156" s="68">
        <f>O156-G156</f>
        <v/>
      </c>
      <c r="R156" s="69">
        <f>Q156^2</f>
        <v/>
      </c>
      <c r="S156">
        <f>IF(P156=G156,1,0)</f>
        <v/>
      </c>
      <c r="T156">
        <f>2*(O156-G156)*(1-O156)*O156</f>
        <v/>
      </c>
      <c r="U156">
        <f>2*(O156-G156)*(1-O156)*O156*C156</f>
        <v/>
      </c>
      <c r="V156">
        <f>2*(O156-G156)*(1-O156)*O156*D156</f>
        <v/>
      </c>
      <c r="W156">
        <f>2*(O156-G156)*(1-O156)*O156*E156</f>
        <v/>
      </c>
      <c r="X156">
        <f>2*(O156-G156)*(1-O156)*O156*F156</f>
        <v/>
      </c>
    </row>
    <row r="157" ht="14.25" customHeight="1" s="96">
      <c r="A157" s="117" t="n"/>
      <c r="B157" s="66" t="n">
        <v>73</v>
      </c>
      <c r="C157" s="79" t="n">
        <v>5.8</v>
      </c>
      <c r="D157" s="67" t="n">
        <v>2.7</v>
      </c>
      <c r="E157" s="67" t="n">
        <v>3.9</v>
      </c>
      <c r="F157" s="67" t="n">
        <v>1.2</v>
      </c>
      <c r="G157" s="80" t="n">
        <v>1</v>
      </c>
      <c r="I157" s="66">
        <f>I156-$K$2*T156</f>
        <v/>
      </c>
      <c r="J157" s="67">
        <f>J156-$K$2*U156</f>
        <v/>
      </c>
      <c r="K157" s="67">
        <f>K156-$K$2*V156</f>
        <v/>
      </c>
      <c r="L157" s="67">
        <f>L156-$K$2*W156</f>
        <v/>
      </c>
      <c r="M157" s="67">
        <f>M156-$K$2*X156</f>
        <v/>
      </c>
      <c r="N157" s="67">
        <f>I157+J157*C157+K157*D157+L157*E157+F157*M157</f>
        <v/>
      </c>
      <c r="O157" s="67">
        <f>1/(1+EXP(-N157))</f>
        <v/>
      </c>
      <c r="P157" s="68">
        <f>IF(O157&gt;0.5,1,0)</f>
        <v/>
      </c>
      <c r="Q157" s="68">
        <f>O157-G157</f>
        <v/>
      </c>
      <c r="R157" s="69">
        <f>Q157^2</f>
        <v/>
      </c>
      <c r="S157">
        <f>IF(P157=G157,1,0)</f>
        <v/>
      </c>
      <c r="T157">
        <f>2*(O157-G157)*(1-O157)*O157</f>
        <v/>
      </c>
      <c r="U157">
        <f>2*(O157-G157)*(1-O157)*O157*C157</f>
        <v/>
      </c>
      <c r="V157">
        <f>2*(O157-G157)*(1-O157)*O157*D157</f>
        <v/>
      </c>
      <c r="W157">
        <f>2*(O157-G157)*(1-O157)*O157*E157</f>
        <v/>
      </c>
      <c r="X157">
        <f>2*(O157-G157)*(1-O157)*O157*F157</f>
        <v/>
      </c>
    </row>
    <row r="158" ht="14.25" customHeight="1" s="96">
      <c r="A158" s="117" t="n"/>
      <c r="B158" s="66" t="n">
        <v>74</v>
      </c>
      <c r="C158" s="79" t="n">
        <v>6</v>
      </c>
      <c r="D158" s="67" t="n">
        <v>2.7</v>
      </c>
      <c r="E158" s="67" t="n">
        <v>5.1</v>
      </c>
      <c r="F158" s="67" t="n">
        <v>1.6</v>
      </c>
      <c r="G158" s="80" t="n">
        <v>1</v>
      </c>
      <c r="I158" s="66">
        <f>I157-$K$2*T157</f>
        <v/>
      </c>
      <c r="J158" s="67">
        <f>J157-$K$2*U157</f>
        <v/>
      </c>
      <c r="K158" s="67">
        <f>K157-$K$2*V157</f>
        <v/>
      </c>
      <c r="L158" s="67">
        <f>L157-$K$2*W157</f>
        <v/>
      </c>
      <c r="M158" s="67">
        <f>M157-$K$2*X157</f>
        <v/>
      </c>
      <c r="N158" s="67">
        <f>I158+J158*C158+K158*D158+L158*E158+F158*M158</f>
        <v/>
      </c>
      <c r="O158" s="67">
        <f>1/(1+EXP(-N158))</f>
        <v/>
      </c>
      <c r="P158" s="68">
        <f>IF(O158&gt;0.5,1,0)</f>
        <v/>
      </c>
      <c r="Q158" s="68">
        <f>O158-G158</f>
        <v/>
      </c>
      <c r="R158" s="69">
        <f>Q158^2</f>
        <v/>
      </c>
      <c r="S158">
        <f>IF(P158=G158,1,0)</f>
        <v/>
      </c>
      <c r="T158">
        <f>2*(O158-G158)*(1-O158)*O158</f>
        <v/>
      </c>
      <c r="U158">
        <f>2*(O158-G158)*(1-O158)*O158*C158</f>
        <v/>
      </c>
      <c r="V158">
        <f>2*(O158-G158)*(1-O158)*O158*D158</f>
        <v/>
      </c>
      <c r="W158">
        <f>2*(O158-G158)*(1-O158)*O158*E158</f>
        <v/>
      </c>
      <c r="X158">
        <f>2*(O158-G158)*(1-O158)*O158*F158</f>
        <v/>
      </c>
    </row>
    <row r="159" ht="14.25" customHeight="1" s="96">
      <c r="A159" s="117" t="n"/>
      <c r="B159" s="66" t="n">
        <v>75</v>
      </c>
      <c r="C159" s="79" t="n">
        <v>5.4</v>
      </c>
      <c r="D159" s="67" t="n">
        <v>3</v>
      </c>
      <c r="E159" s="67" t="n">
        <v>4.5</v>
      </c>
      <c r="F159" s="67" t="n">
        <v>1.5</v>
      </c>
      <c r="G159" s="80" t="n">
        <v>1</v>
      </c>
      <c r="I159" s="66">
        <f>I158-$K$2*T158</f>
        <v/>
      </c>
      <c r="J159" s="67">
        <f>J158-$K$2*U158</f>
        <v/>
      </c>
      <c r="K159" s="67">
        <f>K158-$K$2*V158</f>
        <v/>
      </c>
      <c r="L159" s="67">
        <f>L158-$K$2*W158</f>
        <v/>
      </c>
      <c r="M159" s="67">
        <f>M158-$K$2*X158</f>
        <v/>
      </c>
      <c r="N159" s="67">
        <f>I159+J159*C159+K159*D159+L159*E159+F159*M159</f>
        <v/>
      </c>
      <c r="O159" s="67">
        <f>1/(1+EXP(-N159))</f>
        <v/>
      </c>
      <c r="P159" s="68">
        <f>IF(O159&gt;0.5,1,0)</f>
        <v/>
      </c>
      <c r="Q159" s="68">
        <f>O159-G159</f>
        <v/>
      </c>
      <c r="R159" s="69">
        <f>Q159^2</f>
        <v/>
      </c>
      <c r="S159">
        <f>IF(P159=G159,1,0)</f>
        <v/>
      </c>
      <c r="T159">
        <f>2*(O159-G159)*(1-O159)*O159</f>
        <v/>
      </c>
      <c r="U159">
        <f>2*(O159-G159)*(1-O159)*O159*C159</f>
        <v/>
      </c>
      <c r="V159">
        <f>2*(O159-G159)*(1-O159)*O159*D159</f>
        <v/>
      </c>
      <c r="W159">
        <f>2*(O159-G159)*(1-O159)*O159*E159</f>
        <v/>
      </c>
      <c r="X159">
        <f>2*(O159-G159)*(1-O159)*O159*F159</f>
        <v/>
      </c>
    </row>
    <row r="160" ht="14.25" customHeight="1" s="96">
      <c r="A160" s="117" t="n"/>
      <c r="B160" s="66" t="n">
        <v>76</v>
      </c>
      <c r="C160" s="79" t="n">
        <v>6</v>
      </c>
      <c r="D160" s="67" t="n">
        <v>3.4</v>
      </c>
      <c r="E160" s="67" t="n">
        <v>4.5</v>
      </c>
      <c r="F160" s="67" t="n">
        <v>1.6</v>
      </c>
      <c r="G160" s="80" t="n">
        <v>1</v>
      </c>
      <c r="I160" s="66">
        <f>I159-$K$2*T159</f>
        <v/>
      </c>
      <c r="J160" s="67">
        <f>J159-$K$2*U159</f>
        <v/>
      </c>
      <c r="K160" s="67">
        <f>K159-$K$2*V159</f>
        <v/>
      </c>
      <c r="L160" s="67">
        <f>L159-$K$2*W159</f>
        <v/>
      </c>
      <c r="M160" s="67">
        <f>M159-$K$2*X159</f>
        <v/>
      </c>
      <c r="N160" s="67">
        <f>I160+J160*C160+K160*D160+L160*E160+F160*M160</f>
        <v/>
      </c>
      <c r="O160" s="67">
        <f>1/(1+EXP(-N160))</f>
        <v/>
      </c>
      <c r="P160" s="68">
        <f>IF(O160&gt;0.5,1,0)</f>
        <v/>
      </c>
      <c r="Q160" s="68">
        <f>O160-G160</f>
        <v/>
      </c>
      <c r="R160" s="69">
        <f>Q160^2</f>
        <v/>
      </c>
      <c r="S160">
        <f>IF(P160=G160,1,0)</f>
        <v/>
      </c>
      <c r="T160">
        <f>2*(O160-G160)*(1-O160)*O160</f>
        <v/>
      </c>
      <c r="U160">
        <f>2*(O160-G160)*(1-O160)*O160*C160</f>
        <v/>
      </c>
      <c r="V160">
        <f>2*(O160-G160)*(1-O160)*O160*D160</f>
        <v/>
      </c>
      <c r="W160">
        <f>2*(O160-G160)*(1-O160)*O160*E160</f>
        <v/>
      </c>
      <c r="X160">
        <f>2*(O160-G160)*(1-O160)*O160*F160</f>
        <v/>
      </c>
    </row>
    <row r="161" ht="14.25" customHeight="1" s="96">
      <c r="A161" s="117" t="n"/>
      <c r="B161" s="66" t="n">
        <v>77</v>
      </c>
      <c r="C161" s="79" t="n">
        <v>6.7</v>
      </c>
      <c r="D161" s="67" t="n">
        <v>3.1</v>
      </c>
      <c r="E161" s="67" t="n">
        <v>4.7</v>
      </c>
      <c r="F161" s="67" t="n">
        <v>1.5</v>
      </c>
      <c r="G161" s="80" t="n">
        <v>1</v>
      </c>
      <c r="I161" s="66">
        <f>I160-$K$2*T160</f>
        <v/>
      </c>
      <c r="J161" s="67">
        <f>J160-$K$2*U160</f>
        <v/>
      </c>
      <c r="K161" s="67">
        <f>K160-$K$2*V160</f>
        <v/>
      </c>
      <c r="L161" s="67">
        <f>L160-$K$2*W160</f>
        <v/>
      </c>
      <c r="M161" s="67">
        <f>M160-$K$2*X160</f>
        <v/>
      </c>
      <c r="N161" s="67">
        <f>I161+J161*C161+K161*D161+L161*E161+F161*M161</f>
        <v/>
      </c>
      <c r="O161" s="67">
        <f>1/(1+EXP(-N161))</f>
        <v/>
      </c>
      <c r="P161" s="68">
        <f>IF(O161&gt;0.5,1,0)</f>
        <v/>
      </c>
      <c r="Q161" s="68">
        <f>O161-G161</f>
        <v/>
      </c>
      <c r="R161" s="69">
        <f>Q161^2</f>
        <v/>
      </c>
      <c r="S161">
        <f>IF(P161=G161,1,0)</f>
        <v/>
      </c>
      <c r="T161">
        <f>2*(O161-G161)*(1-O161)*O161</f>
        <v/>
      </c>
      <c r="U161">
        <f>2*(O161-G161)*(1-O161)*O161*C161</f>
        <v/>
      </c>
      <c r="V161">
        <f>2*(O161-G161)*(1-O161)*O161*D161</f>
        <v/>
      </c>
      <c r="W161">
        <f>2*(O161-G161)*(1-O161)*O161*E161</f>
        <v/>
      </c>
      <c r="X161">
        <f>2*(O161-G161)*(1-O161)*O161*F161</f>
        <v/>
      </c>
    </row>
    <row r="162" ht="14.25" customHeight="1" s="96">
      <c r="A162" s="117" t="n"/>
      <c r="B162" s="66" t="n">
        <v>78</v>
      </c>
      <c r="C162" s="79" t="n">
        <v>6.3</v>
      </c>
      <c r="D162" s="67" t="n">
        <v>2.3</v>
      </c>
      <c r="E162" s="67" t="n">
        <v>4.4</v>
      </c>
      <c r="F162" s="67" t="n">
        <v>1.3</v>
      </c>
      <c r="G162" s="80" t="n">
        <v>1</v>
      </c>
      <c r="I162" s="66">
        <f>I161-$K$2*T161</f>
        <v/>
      </c>
      <c r="J162" s="67">
        <f>J161-$K$2*U161</f>
        <v/>
      </c>
      <c r="K162" s="67">
        <f>K161-$K$2*V161</f>
        <v/>
      </c>
      <c r="L162" s="67">
        <f>L161-$K$2*W161</f>
        <v/>
      </c>
      <c r="M162" s="67">
        <f>M161-$K$2*X161</f>
        <v/>
      </c>
      <c r="N162" s="67">
        <f>I162+J162*C162+K162*D162+L162*E162+F162*M162</f>
        <v/>
      </c>
      <c r="O162" s="67">
        <f>1/(1+EXP(-N162))</f>
        <v/>
      </c>
      <c r="P162" s="68">
        <f>IF(O162&gt;0.5,1,0)</f>
        <v/>
      </c>
      <c r="Q162" s="68">
        <f>O162-G162</f>
        <v/>
      </c>
      <c r="R162" s="69">
        <f>Q162^2</f>
        <v/>
      </c>
      <c r="S162">
        <f>IF(P162=G162,1,0)</f>
        <v/>
      </c>
      <c r="T162">
        <f>2*(O162-G162)*(1-O162)*O162</f>
        <v/>
      </c>
      <c r="U162">
        <f>2*(O162-G162)*(1-O162)*O162*C162</f>
        <v/>
      </c>
      <c r="V162">
        <f>2*(O162-G162)*(1-O162)*O162*D162</f>
        <v/>
      </c>
      <c r="W162">
        <f>2*(O162-G162)*(1-O162)*O162*E162</f>
        <v/>
      </c>
      <c r="X162">
        <f>2*(O162-G162)*(1-O162)*O162*F162</f>
        <v/>
      </c>
    </row>
    <row r="163" ht="14.25" customHeight="1" s="96">
      <c r="A163" s="117" t="n"/>
      <c r="B163" s="66" t="n">
        <v>79</v>
      </c>
      <c r="C163" s="79" t="n">
        <v>5.6</v>
      </c>
      <c r="D163" s="67" t="n">
        <v>3</v>
      </c>
      <c r="E163" s="67" t="n">
        <v>4.1</v>
      </c>
      <c r="F163" s="67" t="n">
        <v>1.3</v>
      </c>
      <c r="G163" s="80" t="n">
        <v>1</v>
      </c>
      <c r="I163" s="66">
        <f>I162-$K$2*T162</f>
        <v/>
      </c>
      <c r="J163" s="67">
        <f>J162-$K$2*U162</f>
        <v/>
      </c>
      <c r="K163" s="67">
        <f>K162-$K$2*V162</f>
        <v/>
      </c>
      <c r="L163" s="67">
        <f>L162-$K$2*W162</f>
        <v/>
      </c>
      <c r="M163" s="67">
        <f>M162-$K$2*X162</f>
        <v/>
      </c>
      <c r="N163" s="67">
        <f>I163+J163*C163+K163*D163+L163*E163+F163*M163</f>
        <v/>
      </c>
      <c r="O163" s="67">
        <f>1/(1+EXP(-N163))</f>
        <v/>
      </c>
      <c r="P163" s="68">
        <f>IF(O163&gt;0.5,1,0)</f>
        <v/>
      </c>
      <c r="Q163" s="68">
        <f>O163-G163</f>
        <v/>
      </c>
      <c r="R163" s="69">
        <f>Q163^2</f>
        <v/>
      </c>
      <c r="S163">
        <f>IF(P163=G163,1,0)</f>
        <v/>
      </c>
      <c r="T163">
        <f>2*(O163-G163)*(1-O163)*O163</f>
        <v/>
      </c>
      <c r="U163">
        <f>2*(O163-G163)*(1-O163)*O163*C163</f>
        <v/>
      </c>
      <c r="V163">
        <f>2*(O163-G163)*(1-O163)*O163*D163</f>
        <v/>
      </c>
      <c r="W163">
        <f>2*(O163-G163)*(1-O163)*O163*E163</f>
        <v/>
      </c>
      <c r="X163">
        <f>2*(O163-G163)*(1-O163)*O163*F163</f>
        <v/>
      </c>
    </row>
    <row r="164" ht="14.25" customHeight="1" s="96">
      <c r="A164" s="118" t="n"/>
      <c r="B164" s="66" t="n">
        <v>80</v>
      </c>
      <c r="C164" s="79" t="n">
        <v>5.5</v>
      </c>
      <c r="D164" s="67" t="n">
        <v>2.5</v>
      </c>
      <c r="E164" s="67" t="n">
        <v>4</v>
      </c>
      <c r="F164" s="67" t="n">
        <v>1.3</v>
      </c>
      <c r="G164" s="80" t="n">
        <v>1</v>
      </c>
      <c r="I164" s="66">
        <f>I163-$K$2*T163</f>
        <v/>
      </c>
      <c r="J164" s="67">
        <f>J163-$K$2*U163</f>
        <v/>
      </c>
      <c r="K164" s="67">
        <f>K163-$K$2*V163</f>
        <v/>
      </c>
      <c r="L164" s="67">
        <f>L163-$K$2*W163</f>
        <v/>
      </c>
      <c r="M164" s="67">
        <f>M163-$K$2*X163</f>
        <v/>
      </c>
      <c r="N164" s="67">
        <f>I164+J164*C164+K164*D164+L164*E164+F164*M164</f>
        <v/>
      </c>
      <c r="O164" s="67">
        <f>1/(1+EXP(-N164))</f>
        <v/>
      </c>
      <c r="P164" s="68">
        <f>IF(O164&gt;0.5,1,0)</f>
        <v/>
      </c>
      <c r="Q164" s="68">
        <f>O164-G164</f>
        <v/>
      </c>
      <c r="R164" s="69">
        <f>Q164^2</f>
        <v/>
      </c>
      <c r="S164">
        <f>IF(P164=G164,1,0)</f>
        <v/>
      </c>
      <c r="T164">
        <f>2*(O164-G164)*(1-O164)*O164</f>
        <v/>
      </c>
      <c r="U164">
        <f>2*(O164-G164)*(1-O164)*O164*C164</f>
        <v/>
      </c>
      <c r="V164">
        <f>2*(O164-G164)*(1-O164)*O164*D164</f>
        <v/>
      </c>
      <c r="W164">
        <f>2*(O164-G164)*(1-O164)*O164*E164</f>
        <v/>
      </c>
      <c r="X164">
        <f>2*(O164-G164)*(1-O164)*O164*F164</f>
        <v/>
      </c>
    </row>
    <row r="165" ht="14.25" customHeight="1" s="96">
      <c r="A165" s="119" t="inlineStr">
        <is>
          <t>epoch 3</t>
        </is>
      </c>
      <c r="B165" s="66" t="n">
        <v>1</v>
      </c>
      <c r="C165" s="79" t="n">
        <v>5.1</v>
      </c>
      <c r="D165" s="67" t="n">
        <v>3.5</v>
      </c>
      <c r="E165" s="67" t="n">
        <v>1.4</v>
      </c>
      <c r="F165" s="67" t="n">
        <v>0.2</v>
      </c>
      <c r="G165" s="80" t="n">
        <v>0</v>
      </c>
      <c r="I165" s="66">
        <f>I164-$K$2*T164</f>
        <v/>
      </c>
      <c r="J165" s="67">
        <f>J164-$K$2*U164</f>
        <v/>
      </c>
      <c r="K165" s="67">
        <f>K164-$K$2*V164</f>
        <v/>
      </c>
      <c r="L165" s="67">
        <f>L164-$K$2*W164</f>
        <v/>
      </c>
      <c r="M165" s="67">
        <f>M164-$K$2*X164</f>
        <v/>
      </c>
      <c r="N165" s="67">
        <f>I165+J165*C165+K165*D165+L165*E165+F165*M165</f>
        <v/>
      </c>
      <c r="O165" s="67">
        <f>1/(1+EXP(-N165))</f>
        <v/>
      </c>
      <c r="P165" s="68">
        <f>IF(O165&gt;0.5,1,0)</f>
        <v/>
      </c>
      <c r="Q165" s="68">
        <f>O165-G165</f>
        <v/>
      </c>
      <c r="R165" s="69">
        <f>Q165^2</f>
        <v/>
      </c>
      <c r="S165">
        <f>IF(P165=G165,1,0)</f>
        <v/>
      </c>
      <c r="T165">
        <f>2*(O165-G165)*(1-O165)*O165</f>
        <v/>
      </c>
      <c r="U165">
        <f>2*(O165-G165)*(1-O165)*O165*C165</f>
        <v/>
      </c>
      <c r="V165">
        <f>2*(O165-G165)*(1-O165)*O165*D165</f>
        <v/>
      </c>
      <c r="W165">
        <f>2*(O165-G165)*(1-O165)*O165*E165</f>
        <v/>
      </c>
      <c r="X165">
        <f>2*(O165-G165)*(1-O165)*O165*F165</f>
        <v/>
      </c>
    </row>
    <row r="166" ht="14.25" customHeight="1" s="96">
      <c r="B166" s="66" t="n">
        <v>2</v>
      </c>
      <c r="C166" s="79" t="n">
        <v>4.9</v>
      </c>
      <c r="D166" s="67" t="n">
        <v>3</v>
      </c>
      <c r="E166" s="67" t="n">
        <v>1.4</v>
      </c>
      <c r="F166" s="67" t="n">
        <v>0.2</v>
      </c>
      <c r="G166" s="80" t="n">
        <v>0</v>
      </c>
      <c r="I166" s="66">
        <f>I165-$K$2*T165</f>
        <v/>
      </c>
      <c r="J166" s="67">
        <f>J165-$K$2*U165</f>
        <v/>
      </c>
      <c r="K166" s="67">
        <f>K165-$K$2*V165</f>
        <v/>
      </c>
      <c r="L166" s="67">
        <f>L165-$K$2*W165</f>
        <v/>
      </c>
      <c r="M166" s="67">
        <f>M165-$K$2*X165</f>
        <v/>
      </c>
      <c r="N166" s="67">
        <f>I166+J166*C166+K166*D166+L166*E166+F166*M166</f>
        <v/>
      </c>
      <c r="O166" s="67">
        <f>1/(1+EXP(-N166))</f>
        <v/>
      </c>
      <c r="P166" s="68">
        <f>IF(O166&gt;0.5,1,0)</f>
        <v/>
      </c>
      <c r="Q166" s="68">
        <f>O166-G166</f>
        <v/>
      </c>
      <c r="R166" s="69">
        <f>Q166^2</f>
        <v/>
      </c>
      <c r="S166">
        <f>IF(P166=G166,1,0)</f>
        <v/>
      </c>
      <c r="T166">
        <f>2*(O166-G166)*(1-O166)*O166</f>
        <v/>
      </c>
      <c r="U166">
        <f>2*(O166-G166)*(1-O166)*O166*C166</f>
        <v/>
      </c>
      <c r="V166">
        <f>2*(O166-G166)*(1-O166)*O166*D166</f>
        <v/>
      </c>
      <c r="W166">
        <f>2*(O166-G166)*(1-O166)*O166*E166</f>
        <v/>
      </c>
      <c r="X166">
        <f>2*(O166-G166)*(1-O166)*O166*F166</f>
        <v/>
      </c>
    </row>
    <row r="167" ht="14.25" customHeight="1" s="96">
      <c r="B167" s="66" t="n">
        <v>3</v>
      </c>
      <c r="C167" s="79" t="n">
        <v>4.7</v>
      </c>
      <c r="D167" s="67" t="n">
        <v>3.2</v>
      </c>
      <c r="E167" s="67" t="n">
        <v>1.3</v>
      </c>
      <c r="F167" s="67" t="n">
        <v>0.2</v>
      </c>
      <c r="G167" s="80" t="n">
        <v>0</v>
      </c>
      <c r="I167" s="66">
        <f>I166-$K$2*T166</f>
        <v/>
      </c>
      <c r="J167" s="67">
        <f>J166-$K$2*U166</f>
        <v/>
      </c>
      <c r="K167" s="67">
        <f>K166-$K$2*V166</f>
        <v/>
      </c>
      <c r="L167" s="67">
        <f>L166-$K$2*W166</f>
        <v/>
      </c>
      <c r="M167" s="67">
        <f>M166-$K$2*X166</f>
        <v/>
      </c>
      <c r="N167" s="67">
        <f>I167+J167*C167+K167*D167+L167*E167+F167*M167</f>
        <v/>
      </c>
      <c r="O167" s="67">
        <f>1/(1+EXP(-N167))</f>
        <v/>
      </c>
      <c r="P167" s="68">
        <f>IF(O167&gt;0.5,1,0)</f>
        <v/>
      </c>
      <c r="Q167" s="68">
        <f>O167-G167</f>
        <v/>
      </c>
      <c r="R167" s="69">
        <f>Q167^2</f>
        <v/>
      </c>
      <c r="S167">
        <f>IF(P167=G167,1,0)</f>
        <v/>
      </c>
      <c r="T167">
        <f>2*(O167-G167)*(1-O167)*O167</f>
        <v/>
      </c>
      <c r="U167">
        <f>2*(O167-G167)*(1-O167)*O167*C167</f>
        <v/>
      </c>
      <c r="V167">
        <f>2*(O167-G167)*(1-O167)*O167*D167</f>
        <v/>
      </c>
      <c r="W167">
        <f>2*(O167-G167)*(1-O167)*O167*E167</f>
        <v/>
      </c>
      <c r="X167">
        <f>2*(O167-G167)*(1-O167)*O167*F167</f>
        <v/>
      </c>
    </row>
    <row r="168" ht="14.25" customHeight="1" s="96">
      <c r="B168" s="66" t="n">
        <v>4</v>
      </c>
      <c r="C168" s="79" t="n">
        <v>4.6</v>
      </c>
      <c r="D168" s="67" t="n">
        <v>3.1</v>
      </c>
      <c r="E168" s="67" t="n">
        <v>1.5</v>
      </c>
      <c r="F168" s="67" t="n">
        <v>0.2</v>
      </c>
      <c r="G168" s="80" t="n">
        <v>0</v>
      </c>
      <c r="I168" s="66">
        <f>I167-$K$2*T167</f>
        <v/>
      </c>
      <c r="J168" s="67">
        <f>J167-$K$2*U167</f>
        <v/>
      </c>
      <c r="K168" s="67">
        <f>K167-$K$2*V167</f>
        <v/>
      </c>
      <c r="L168" s="67">
        <f>L167-$K$2*W167</f>
        <v/>
      </c>
      <c r="M168" s="67">
        <f>M167-$K$2*X167</f>
        <v/>
      </c>
      <c r="N168" s="67">
        <f>I168+J168*C168+K168*D168+L168*E168+F168*M168</f>
        <v/>
      </c>
      <c r="O168" s="67">
        <f>1/(1+EXP(-N168))</f>
        <v/>
      </c>
      <c r="P168" s="68">
        <f>IF(O168&gt;0.5,1,0)</f>
        <v/>
      </c>
      <c r="Q168" s="68">
        <f>O168-G168</f>
        <v/>
      </c>
      <c r="R168" s="69">
        <f>Q168^2</f>
        <v/>
      </c>
      <c r="S168">
        <f>IF(P168=G168,1,0)</f>
        <v/>
      </c>
      <c r="T168">
        <f>2*(O168-G168)*(1-O168)*O168</f>
        <v/>
      </c>
      <c r="U168">
        <f>2*(O168-G168)*(1-O168)*O168*C168</f>
        <v/>
      </c>
      <c r="V168">
        <f>2*(O168-G168)*(1-O168)*O168*D168</f>
        <v/>
      </c>
      <c r="W168">
        <f>2*(O168-G168)*(1-O168)*O168*E168</f>
        <v/>
      </c>
      <c r="X168">
        <f>2*(O168-G168)*(1-O168)*O168*F168</f>
        <v/>
      </c>
    </row>
    <row r="169" ht="14.25" customHeight="1" s="96">
      <c r="B169" s="66" t="n">
        <v>5</v>
      </c>
      <c r="C169" s="79" t="n">
        <v>5</v>
      </c>
      <c r="D169" s="67" t="n">
        <v>3.6</v>
      </c>
      <c r="E169" s="67" t="n">
        <v>1.4</v>
      </c>
      <c r="F169" s="67" t="n">
        <v>0.2</v>
      </c>
      <c r="G169" s="80" t="n">
        <v>0</v>
      </c>
      <c r="I169" s="66">
        <f>I168-$K$2*T168</f>
        <v/>
      </c>
      <c r="J169" s="67">
        <f>J168-$K$2*U168</f>
        <v/>
      </c>
      <c r="K169" s="67">
        <f>K168-$K$2*V168</f>
        <v/>
      </c>
      <c r="L169" s="67">
        <f>L168-$K$2*W168</f>
        <v/>
      </c>
      <c r="M169" s="67">
        <f>M168-$K$2*X168</f>
        <v/>
      </c>
      <c r="N169" s="67">
        <f>I169+J169*C169+K169*D169+L169*E169+F169*M169</f>
        <v/>
      </c>
      <c r="O169" s="67">
        <f>1/(1+EXP(-N169))</f>
        <v/>
      </c>
      <c r="P169" s="68">
        <f>IF(O169&gt;0.5,1,0)</f>
        <v/>
      </c>
      <c r="Q169" s="68">
        <f>O169-G169</f>
        <v/>
      </c>
      <c r="R169" s="69">
        <f>Q169^2</f>
        <v/>
      </c>
      <c r="S169">
        <f>IF(P169=G169,1,0)</f>
        <v/>
      </c>
      <c r="T169">
        <f>2*(O169-G169)*(1-O169)*O169</f>
        <v/>
      </c>
      <c r="U169">
        <f>2*(O169-G169)*(1-O169)*O169*C169</f>
        <v/>
      </c>
      <c r="V169">
        <f>2*(O169-G169)*(1-O169)*O169*D169</f>
        <v/>
      </c>
      <c r="W169">
        <f>2*(O169-G169)*(1-O169)*O169*E169</f>
        <v/>
      </c>
      <c r="X169">
        <f>2*(O169-G169)*(1-O169)*O169*F169</f>
        <v/>
      </c>
    </row>
    <row r="170" ht="14.25" customHeight="1" s="96">
      <c r="B170" s="66" t="n">
        <v>6</v>
      </c>
      <c r="C170" s="79" t="n">
        <v>5.4</v>
      </c>
      <c r="D170" s="67" t="n">
        <v>3.9</v>
      </c>
      <c r="E170" s="67" t="n">
        <v>1.7</v>
      </c>
      <c r="F170" s="67" t="n">
        <v>0.4</v>
      </c>
      <c r="G170" s="80" t="n">
        <v>0</v>
      </c>
      <c r="I170" s="66">
        <f>I169-$K$2*T169</f>
        <v/>
      </c>
      <c r="J170" s="67">
        <f>J169-$K$2*U169</f>
        <v/>
      </c>
      <c r="K170" s="67">
        <f>K169-$K$2*V169</f>
        <v/>
      </c>
      <c r="L170" s="67">
        <f>L169-$K$2*W169</f>
        <v/>
      </c>
      <c r="M170" s="67">
        <f>M169-$K$2*X169</f>
        <v/>
      </c>
      <c r="N170" s="67">
        <f>I170+J170*C170+K170*D170+L170*E170+F170*M170</f>
        <v/>
      </c>
      <c r="O170" s="67">
        <f>1/(1+EXP(-N170))</f>
        <v/>
      </c>
      <c r="P170" s="68">
        <f>IF(O170&gt;0.5,1,0)</f>
        <v/>
      </c>
      <c r="Q170" s="68">
        <f>O170-G170</f>
        <v/>
      </c>
      <c r="R170" s="69">
        <f>Q170^2</f>
        <v/>
      </c>
      <c r="S170">
        <f>IF(P170=G170,1,0)</f>
        <v/>
      </c>
      <c r="T170">
        <f>2*(O170-G170)*(1-O170)*O170</f>
        <v/>
      </c>
      <c r="U170">
        <f>2*(O170-G170)*(1-O170)*O170*C170</f>
        <v/>
      </c>
      <c r="V170">
        <f>2*(O170-G170)*(1-O170)*O170*D170</f>
        <v/>
      </c>
      <c r="W170">
        <f>2*(O170-G170)*(1-O170)*O170*E170</f>
        <v/>
      </c>
      <c r="X170">
        <f>2*(O170-G170)*(1-O170)*O170*F170</f>
        <v/>
      </c>
    </row>
    <row r="171" ht="14.25" customHeight="1" s="96">
      <c r="B171" s="66" t="n">
        <v>7</v>
      </c>
      <c r="C171" s="79" t="n">
        <v>4.6</v>
      </c>
      <c r="D171" s="67" t="n">
        <v>3.4</v>
      </c>
      <c r="E171" s="67" t="n">
        <v>1.4</v>
      </c>
      <c r="F171" s="67" t="n">
        <v>0.3</v>
      </c>
      <c r="G171" s="80" t="n">
        <v>0</v>
      </c>
      <c r="I171" s="66">
        <f>I170-$K$2*T170</f>
        <v/>
      </c>
      <c r="J171" s="67">
        <f>J170-$K$2*U170</f>
        <v/>
      </c>
      <c r="K171" s="67">
        <f>K170-$K$2*V170</f>
        <v/>
      </c>
      <c r="L171" s="67">
        <f>L170-$K$2*W170</f>
        <v/>
      </c>
      <c r="M171" s="67">
        <f>M170-$K$2*X170</f>
        <v/>
      </c>
      <c r="N171" s="67">
        <f>I171+J171*C171+K171*D171+L171*E171+F171*M171</f>
        <v/>
      </c>
      <c r="O171" s="67">
        <f>1/(1+EXP(-N171))</f>
        <v/>
      </c>
      <c r="P171" s="68">
        <f>IF(O171&gt;0.5,1,0)</f>
        <v/>
      </c>
      <c r="Q171" s="68">
        <f>O171-G171</f>
        <v/>
      </c>
      <c r="R171" s="69">
        <f>Q171^2</f>
        <v/>
      </c>
      <c r="S171">
        <f>IF(P171=G171,1,0)</f>
        <v/>
      </c>
      <c r="T171">
        <f>2*(O171-G171)*(1-O171)*O171</f>
        <v/>
      </c>
      <c r="U171">
        <f>2*(O171-G171)*(1-O171)*O171*C171</f>
        <v/>
      </c>
      <c r="V171">
        <f>2*(O171-G171)*(1-O171)*O171*D171</f>
        <v/>
      </c>
      <c r="W171">
        <f>2*(O171-G171)*(1-O171)*O171*E171</f>
        <v/>
      </c>
      <c r="X171">
        <f>2*(O171-G171)*(1-O171)*O171*F171</f>
        <v/>
      </c>
    </row>
    <row r="172" ht="14.25" customHeight="1" s="96">
      <c r="B172" s="66" t="n">
        <v>8</v>
      </c>
      <c r="C172" s="79" t="n">
        <v>5</v>
      </c>
      <c r="D172" s="67" t="n">
        <v>3.4</v>
      </c>
      <c r="E172" s="67" t="n">
        <v>1.5</v>
      </c>
      <c r="F172" s="67" t="n">
        <v>0.2</v>
      </c>
      <c r="G172" s="80" t="n">
        <v>0</v>
      </c>
      <c r="I172" s="66">
        <f>I171-$K$2*T171</f>
        <v/>
      </c>
      <c r="J172" s="67">
        <f>J171-$K$2*U171</f>
        <v/>
      </c>
      <c r="K172" s="67">
        <f>K171-$K$2*V171</f>
        <v/>
      </c>
      <c r="L172" s="67">
        <f>L171-$K$2*W171</f>
        <v/>
      </c>
      <c r="M172" s="67">
        <f>M171-$K$2*X171</f>
        <v/>
      </c>
      <c r="N172" s="67">
        <f>I172+J172*C172+K172*D172+L172*E172+F172*M172</f>
        <v/>
      </c>
      <c r="O172" s="67">
        <f>1/(1+EXP(-N172))</f>
        <v/>
      </c>
      <c r="P172" s="68">
        <f>IF(O172&gt;0.5,1,0)</f>
        <v/>
      </c>
      <c r="Q172" s="68">
        <f>O172-G172</f>
        <v/>
      </c>
      <c r="R172" s="69">
        <f>Q172^2</f>
        <v/>
      </c>
      <c r="S172">
        <f>IF(P172=G172,1,0)</f>
        <v/>
      </c>
      <c r="T172">
        <f>2*(O172-G172)*(1-O172)*O172</f>
        <v/>
      </c>
      <c r="U172">
        <f>2*(O172-G172)*(1-O172)*O172*C172</f>
        <v/>
      </c>
      <c r="V172">
        <f>2*(O172-G172)*(1-O172)*O172*D172</f>
        <v/>
      </c>
      <c r="W172">
        <f>2*(O172-G172)*(1-O172)*O172*E172</f>
        <v/>
      </c>
      <c r="X172">
        <f>2*(O172-G172)*(1-O172)*O172*F172</f>
        <v/>
      </c>
    </row>
    <row r="173" ht="14.25" customHeight="1" s="96">
      <c r="B173" s="66" t="n">
        <v>9</v>
      </c>
      <c r="C173" s="79" t="n">
        <v>4.4</v>
      </c>
      <c r="D173" s="67" t="n">
        <v>2.9</v>
      </c>
      <c r="E173" s="67" t="n">
        <v>1.4</v>
      </c>
      <c r="F173" s="67" t="n">
        <v>0.2</v>
      </c>
      <c r="G173" s="80" t="n">
        <v>0</v>
      </c>
      <c r="I173" s="66">
        <f>I172-$K$2*T172</f>
        <v/>
      </c>
      <c r="J173" s="67">
        <f>J172-$K$2*U172</f>
        <v/>
      </c>
      <c r="K173" s="67">
        <f>K172-$K$2*V172</f>
        <v/>
      </c>
      <c r="L173" s="67">
        <f>L172-$K$2*W172</f>
        <v/>
      </c>
      <c r="M173" s="67">
        <f>M172-$K$2*X172</f>
        <v/>
      </c>
      <c r="N173" s="67">
        <f>I173+J173*C173+K173*D173+L173*E173+F173*M173</f>
        <v/>
      </c>
      <c r="O173" s="67">
        <f>1/(1+EXP(-N173))</f>
        <v/>
      </c>
      <c r="P173" s="68">
        <f>IF(O173&gt;0.5,1,0)</f>
        <v/>
      </c>
      <c r="Q173" s="68">
        <f>O173-G173</f>
        <v/>
      </c>
      <c r="R173" s="69">
        <f>Q173^2</f>
        <v/>
      </c>
      <c r="S173">
        <f>IF(P173=G173,1,0)</f>
        <v/>
      </c>
      <c r="T173">
        <f>2*(O173-G173)*(1-O173)*O173</f>
        <v/>
      </c>
      <c r="U173">
        <f>2*(O173-G173)*(1-O173)*O173*C173</f>
        <v/>
      </c>
      <c r="V173">
        <f>2*(O173-G173)*(1-O173)*O173*D173</f>
        <v/>
      </c>
      <c r="W173">
        <f>2*(O173-G173)*(1-O173)*O173*E173</f>
        <v/>
      </c>
      <c r="X173">
        <f>2*(O173-G173)*(1-O173)*O173*F173</f>
        <v/>
      </c>
    </row>
    <row r="174" ht="14.25" customHeight="1" s="96">
      <c r="B174" s="66" t="n">
        <v>10</v>
      </c>
      <c r="C174" s="79" t="n">
        <v>4.9</v>
      </c>
      <c r="D174" s="67" t="n">
        <v>3.1</v>
      </c>
      <c r="E174" s="67" t="n">
        <v>1.5</v>
      </c>
      <c r="F174" s="67" t="n">
        <v>0.1</v>
      </c>
      <c r="G174" s="80" t="n">
        <v>0</v>
      </c>
      <c r="I174" s="66">
        <f>I173-$K$2*T173</f>
        <v/>
      </c>
      <c r="J174" s="67">
        <f>J173-$K$2*U173</f>
        <v/>
      </c>
      <c r="K174" s="67">
        <f>K173-$K$2*V173</f>
        <v/>
      </c>
      <c r="L174" s="67">
        <f>L173-$K$2*W173</f>
        <v/>
      </c>
      <c r="M174" s="67">
        <f>M173-$K$2*X173</f>
        <v/>
      </c>
      <c r="N174" s="67">
        <f>I174+J174*C174+K174*D174+L174*E174+F174*M174</f>
        <v/>
      </c>
      <c r="O174" s="67">
        <f>1/(1+EXP(-N174))</f>
        <v/>
      </c>
      <c r="P174" s="68">
        <f>IF(O174&gt;0.5,1,0)</f>
        <v/>
      </c>
      <c r="Q174" s="68">
        <f>O174-G174</f>
        <v/>
      </c>
      <c r="R174" s="69">
        <f>Q174^2</f>
        <v/>
      </c>
      <c r="S174">
        <f>IF(P174=G174,1,0)</f>
        <v/>
      </c>
      <c r="T174">
        <f>2*(O174-G174)*(1-O174)*O174</f>
        <v/>
      </c>
      <c r="U174">
        <f>2*(O174-G174)*(1-O174)*O174*C174</f>
        <v/>
      </c>
      <c r="V174">
        <f>2*(O174-G174)*(1-O174)*O174*D174</f>
        <v/>
      </c>
      <c r="W174">
        <f>2*(O174-G174)*(1-O174)*O174*E174</f>
        <v/>
      </c>
      <c r="X174">
        <f>2*(O174-G174)*(1-O174)*O174*F174</f>
        <v/>
      </c>
    </row>
    <row r="175" ht="14.25" customHeight="1" s="96">
      <c r="B175" s="66" t="n">
        <v>11</v>
      </c>
      <c r="C175" s="79" t="n">
        <v>5.4</v>
      </c>
      <c r="D175" s="67" t="n">
        <v>3.7</v>
      </c>
      <c r="E175" s="67" t="n">
        <v>1.5</v>
      </c>
      <c r="F175" s="67" t="n">
        <v>0.2</v>
      </c>
      <c r="G175" s="80" t="n">
        <v>0</v>
      </c>
      <c r="I175" s="66">
        <f>I174-$K$2*T174</f>
        <v/>
      </c>
      <c r="J175" s="67">
        <f>J174-$K$2*U174</f>
        <v/>
      </c>
      <c r="K175" s="67">
        <f>K174-$K$2*V174</f>
        <v/>
      </c>
      <c r="L175" s="67">
        <f>L174-$K$2*W174</f>
        <v/>
      </c>
      <c r="M175" s="67">
        <f>M174-$K$2*X174</f>
        <v/>
      </c>
      <c r="N175" s="67">
        <f>I175+J175*C175+K175*D175+L175*E175+F175*M175</f>
        <v/>
      </c>
      <c r="O175" s="67">
        <f>1/(1+EXP(-N175))</f>
        <v/>
      </c>
      <c r="P175" s="68">
        <f>IF(O175&gt;0.5,1,0)</f>
        <v/>
      </c>
      <c r="Q175" s="68">
        <f>O175-G175</f>
        <v/>
      </c>
      <c r="R175" s="69">
        <f>Q175^2</f>
        <v/>
      </c>
      <c r="S175">
        <f>IF(P175=G175,1,0)</f>
        <v/>
      </c>
      <c r="T175">
        <f>2*(O175-G175)*(1-O175)*O175</f>
        <v/>
      </c>
      <c r="U175">
        <f>2*(O175-G175)*(1-O175)*O175*C175</f>
        <v/>
      </c>
      <c r="V175">
        <f>2*(O175-G175)*(1-O175)*O175*D175</f>
        <v/>
      </c>
      <c r="W175">
        <f>2*(O175-G175)*(1-O175)*O175*E175</f>
        <v/>
      </c>
      <c r="X175">
        <f>2*(O175-G175)*(1-O175)*O175*F175</f>
        <v/>
      </c>
    </row>
    <row r="176" ht="14.25" customHeight="1" s="96">
      <c r="B176" s="66" t="n">
        <v>12</v>
      </c>
      <c r="C176" s="79" t="n">
        <v>4.8</v>
      </c>
      <c r="D176" s="67" t="n">
        <v>3.4</v>
      </c>
      <c r="E176" s="67" t="n">
        <v>1.6</v>
      </c>
      <c r="F176" s="67" t="n">
        <v>0.2</v>
      </c>
      <c r="G176" s="80" t="n">
        <v>0</v>
      </c>
      <c r="I176" s="66">
        <f>I175-$K$2*T175</f>
        <v/>
      </c>
      <c r="J176" s="67">
        <f>J175-$K$2*U175</f>
        <v/>
      </c>
      <c r="K176" s="67">
        <f>K175-$K$2*V175</f>
        <v/>
      </c>
      <c r="L176" s="67">
        <f>L175-$K$2*W175</f>
        <v/>
      </c>
      <c r="M176" s="67">
        <f>M175-$K$2*X175</f>
        <v/>
      </c>
      <c r="N176" s="67">
        <f>I176+J176*C176+K176*D176+L176*E176+F176*M176</f>
        <v/>
      </c>
      <c r="O176" s="67">
        <f>1/(1+EXP(-N176))</f>
        <v/>
      </c>
      <c r="P176" s="68">
        <f>IF(O176&gt;0.5,1,0)</f>
        <v/>
      </c>
      <c r="Q176" s="68">
        <f>O176-G176</f>
        <v/>
      </c>
      <c r="R176" s="69">
        <f>Q176^2</f>
        <v/>
      </c>
      <c r="S176">
        <f>IF(P176=G176,1,0)</f>
        <v/>
      </c>
      <c r="T176">
        <f>2*(O176-G176)*(1-O176)*O176</f>
        <v/>
      </c>
      <c r="U176">
        <f>2*(O176-G176)*(1-O176)*O176*C176</f>
        <v/>
      </c>
      <c r="V176">
        <f>2*(O176-G176)*(1-O176)*O176*D176</f>
        <v/>
      </c>
      <c r="W176">
        <f>2*(O176-G176)*(1-O176)*O176*E176</f>
        <v/>
      </c>
      <c r="X176">
        <f>2*(O176-G176)*(1-O176)*O176*F176</f>
        <v/>
      </c>
    </row>
    <row r="177" ht="14.25" customHeight="1" s="96">
      <c r="B177" s="66" t="n">
        <v>13</v>
      </c>
      <c r="C177" s="79" t="n">
        <v>4.8</v>
      </c>
      <c r="D177" s="67" t="n">
        <v>3</v>
      </c>
      <c r="E177" s="67" t="n">
        <v>1.4</v>
      </c>
      <c r="F177" s="67" t="n">
        <v>0.1</v>
      </c>
      <c r="G177" s="80" t="n">
        <v>0</v>
      </c>
      <c r="I177" s="66">
        <f>I176-$K$2*T176</f>
        <v/>
      </c>
      <c r="J177" s="67">
        <f>J176-$K$2*U176</f>
        <v/>
      </c>
      <c r="K177" s="67">
        <f>K176-$K$2*V176</f>
        <v/>
      </c>
      <c r="L177" s="67">
        <f>L176-$K$2*W176</f>
        <v/>
      </c>
      <c r="M177" s="67">
        <f>M176-$K$2*X176</f>
        <v/>
      </c>
      <c r="N177" s="67">
        <f>I177+J177*C177+K177*D177+L177*E177+F177*M177</f>
        <v/>
      </c>
      <c r="O177" s="67">
        <f>1/(1+EXP(-N177))</f>
        <v/>
      </c>
      <c r="P177" s="68">
        <f>IF(O177&gt;0.5,1,0)</f>
        <v/>
      </c>
      <c r="Q177" s="68">
        <f>O177-G177</f>
        <v/>
      </c>
      <c r="R177" s="69">
        <f>Q177^2</f>
        <v/>
      </c>
      <c r="S177">
        <f>IF(P177=G177,1,0)</f>
        <v/>
      </c>
      <c r="T177">
        <f>2*(O177-G177)*(1-O177)*O177</f>
        <v/>
      </c>
      <c r="U177">
        <f>2*(O177-G177)*(1-O177)*O177*C177</f>
        <v/>
      </c>
      <c r="V177">
        <f>2*(O177-G177)*(1-O177)*O177*D177</f>
        <v/>
      </c>
      <c r="W177">
        <f>2*(O177-G177)*(1-O177)*O177*E177</f>
        <v/>
      </c>
      <c r="X177">
        <f>2*(O177-G177)*(1-O177)*O177*F177</f>
        <v/>
      </c>
    </row>
    <row r="178" ht="14.25" customHeight="1" s="96">
      <c r="B178" s="66" t="n">
        <v>14</v>
      </c>
      <c r="C178" s="79" t="n">
        <v>4.3</v>
      </c>
      <c r="D178" s="67" t="n">
        <v>3</v>
      </c>
      <c r="E178" s="67" t="n">
        <v>1.1</v>
      </c>
      <c r="F178" s="67" t="n">
        <v>0.1</v>
      </c>
      <c r="G178" s="80" t="n">
        <v>0</v>
      </c>
      <c r="I178" s="66">
        <f>I177-$K$2*T177</f>
        <v/>
      </c>
      <c r="J178" s="67">
        <f>J177-$K$2*U177</f>
        <v/>
      </c>
      <c r="K178" s="67">
        <f>K177-$K$2*V177</f>
        <v/>
      </c>
      <c r="L178" s="67">
        <f>L177-$K$2*W177</f>
        <v/>
      </c>
      <c r="M178" s="67">
        <f>M177-$K$2*X177</f>
        <v/>
      </c>
      <c r="N178" s="67">
        <f>I178+J178*C178+K178*D178+L178*E178+F178*M178</f>
        <v/>
      </c>
      <c r="O178" s="67">
        <f>1/(1+EXP(-N178))</f>
        <v/>
      </c>
      <c r="P178" s="68">
        <f>IF(O178&gt;0.5,1,0)</f>
        <v/>
      </c>
      <c r="Q178" s="68">
        <f>O178-G178</f>
        <v/>
      </c>
      <c r="R178" s="69">
        <f>Q178^2</f>
        <v/>
      </c>
      <c r="S178">
        <f>IF(P178=G178,1,0)</f>
        <v/>
      </c>
      <c r="T178">
        <f>2*(O178-G178)*(1-O178)*O178</f>
        <v/>
      </c>
      <c r="U178">
        <f>2*(O178-G178)*(1-O178)*O178*C178</f>
        <v/>
      </c>
      <c r="V178">
        <f>2*(O178-G178)*(1-O178)*O178*D178</f>
        <v/>
      </c>
      <c r="W178">
        <f>2*(O178-G178)*(1-O178)*O178*E178</f>
        <v/>
      </c>
      <c r="X178">
        <f>2*(O178-G178)*(1-O178)*O178*F178</f>
        <v/>
      </c>
    </row>
    <row r="179" ht="14.25" customHeight="1" s="96">
      <c r="B179" s="66" t="n">
        <v>15</v>
      </c>
      <c r="C179" s="79" t="n">
        <v>5.8</v>
      </c>
      <c r="D179" s="67" t="n">
        <v>4</v>
      </c>
      <c r="E179" s="67" t="n">
        <v>1.2</v>
      </c>
      <c r="F179" s="67" t="n">
        <v>0.2</v>
      </c>
      <c r="G179" s="80" t="n">
        <v>0</v>
      </c>
      <c r="I179" s="66">
        <f>I178-$K$2*T178</f>
        <v/>
      </c>
      <c r="J179" s="67">
        <f>J178-$K$2*U178</f>
        <v/>
      </c>
      <c r="K179" s="67">
        <f>K178-$K$2*V178</f>
        <v/>
      </c>
      <c r="L179" s="67">
        <f>L178-$K$2*W178</f>
        <v/>
      </c>
      <c r="M179" s="67">
        <f>M178-$K$2*X178</f>
        <v/>
      </c>
      <c r="N179" s="67">
        <f>I179+J179*C179+K179*D179+L179*E179+F179*M179</f>
        <v/>
      </c>
      <c r="O179" s="67">
        <f>1/(1+EXP(-N179))</f>
        <v/>
      </c>
      <c r="P179" s="68">
        <f>IF(O179&gt;0.5,1,0)</f>
        <v/>
      </c>
      <c r="Q179" s="68">
        <f>O179-G179</f>
        <v/>
      </c>
      <c r="R179" s="69">
        <f>Q179^2</f>
        <v/>
      </c>
      <c r="S179">
        <f>IF(P179=G179,1,0)</f>
        <v/>
      </c>
      <c r="T179">
        <f>2*(O179-G179)*(1-O179)*O179</f>
        <v/>
      </c>
      <c r="U179">
        <f>2*(O179-G179)*(1-O179)*O179*C179</f>
        <v/>
      </c>
      <c r="V179">
        <f>2*(O179-G179)*(1-O179)*O179*D179</f>
        <v/>
      </c>
      <c r="W179">
        <f>2*(O179-G179)*(1-O179)*O179*E179</f>
        <v/>
      </c>
      <c r="X179">
        <f>2*(O179-G179)*(1-O179)*O179*F179</f>
        <v/>
      </c>
    </row>
    <row r="180" ht="14.25" customHeight="1" s="96">
      <c r="B180" s="66" t="n">
        <v>16</v>
      </c>
      <c r="C180" s="79" t="n">
        <v>5.7</v>
      </c>
      <c r="D180" s="67" t="n">
        <v>4.4</v>
      </c>
      <c r="E180" s="67" t="n">
        <v>1.5</v>
      </c>
      <c r="F180" s="67" t="n">
        <v>0.4</v>
      </c>
      <c r="G180" s="80" t="n">
        <v>0</v>
      </c>
      <c r="I180" s="66">
        <f>I179-$K$2*T179</f>
        <v/>
      </c>
      <c r="J180" s="67">
        <f>J179-$K$2*U179</f>
        <v/>
      </c>
      <c r="K180" s="67">
        <f>K179-$K$2*V179</f>
        <v/>
      </c>
      <c r="L180" s="67">
        <f>L179-$K$2*W179</f>
        <v/>
      </c>
      <c r="M180" s="67">
        <f>M179-$K$2*X179</f>
        <v/>
      </c>
      <c r="N180" s="67">
        <f>I180+J180*C180+K180*D180+L180*E180+F180*M180</f>
        <v/>
      </c>
      <c r="O180" s="67">
        <f>1/(1+EXP(-N180))</f>
        <v/>
      </c>
      <c r="P180" s="68">
        <f>IF(O180&gt;0.5,1,0)</f>
        <v/>
      </c>
      <c r="Q180" s="68">
        <f>O180-G180</f>
        <v/>
      </c>
      <c r="R180" s="69">
        <f>Q180^2</f>
        <v/>
      </c>
      <c r="S180">
        <f>IF(P180=G180,1,0)</f>
        <v/>
      </c>
      <c r="T180">
        <f>2*(O180-G180)*(1-O180)*O180</f>
        <v/>
      </c>
      <c r="U180">
        <f>2*(O180-G180)*(1-O180)*O180*C180</f>
        <v/>
      </c>
      <c r="V180">
        <f>2*(O180-G180)*(1-O180)*O180*D180</f>
        <v/>
      </c>
      <c r="W180">
        <f>2*(O180-G180)*(1-O180)*O180*E180</f>
        <v/>
      </c>
      <c r="X180">
        <f>2*(O180-G180)*(1-O180)*O180*F180</f>
        <v/>
      </c>
    </row>
    <row r="181" ht="14.25" customHeight="1" s="96">
      <c r="B181" s="66" t="n">
        <v>17</v>
      </c>
      <c r="C181" s="79" t="n">
        <v>5.4</v>
      </c>
      <c r="D181" s="67" t="n">
        <v>3.9</v>
      </c>
      <c r="E181" s="67" t="n">
        <v>1.3</v>
      </c>
      <c r="F181" s="67" t="n">
        <v>0.4</v>
      </c>
      <c r="G181" s="80" t="n">
        <v>0</v>
      </c>
      <c r="I181" s="66">
        <f>I180-$K$2*T180</f>
        <v/>
      </c>
      <c r="J181" s="67">
        <f>J180-$K$2*U180</f>
        <v/>
      </c>
      <c r="K181" s="67">
        <f>K180-$K$2*V180</f>
        <v/>
      </c>
      <c r="L181" s="67">
        <f>L180-$K$2*W180</f>
        <v/>
      </c>
      <c r="M181" s="67">
        <f>M180-$K$2*X180</f>
        <v/>
      </c>
      <c r="N181" s="67">
        <f>I181+J181*C181+K181*D181+L181*E181+F181*M181</f>
        <v/>
      </c>
      <c r="O181" s="67">
        <f>1/(1+EXP(-N181))</f>
        <v/>
      </c>
      <c r="P181" s="68">
        <f>IF(O181&gt;0.5,1,0)</f>
        <v/>
      </c>
      <c r="Q181" s="68">
        <f>O181-G181</f>
        <v/>
      </c>
      <c r="R181" s="69">
        <f>Q181^2</f>
        <v/>
      </c>
      <c r="S181">
        <f>IF(P181=G181,1,0)</f>
        <v/>
      </c>
      <c r="T181">
        <f>2*(O181-G181)*(1-O181)*O181</f>
        <v/>
      </c>
      <c r="U181">
        <f>2*(O181-G181)*(1-O181)*O181*C181</f>
        <v/>
      </c>
      <c r="V181">
        <f>2*(O181-G181)*(1-O181)*O181*D181</f>
        <v/>
      </c>
      <c r="W181">
        <f>2*(O181-G181)*(1-O181)*O181*E181</f>
        <v/>
      </c>
      <c r="X181">
        <f>2*(O181-G181)*(1-O181)*O181*F181</f>
        <v/>
      </c>
    </row>
    <row r="182" ht="14.25" customHeight="1" s="96">
      <c r="B182" s="66" t="n">
        <v>18</v>
      </c>
      <c r="C182" s="79" t="n">
        <v>5.1</v>
      </c>
      <c r="D182" s="67" t="n">
        <v>3.5</v>
      </c>
      <c r="E182" s="67" t="n">
        <v>1.4</v>
      </c>
      <c r="F182" s="67" t="n">
        <v>0.3</v>
      </c>
      <c r="G182" s="80" t="n">
        <v>0</v>
      </c>
      <c r="I182" s="66">
        <f>I181-$K$2*T181</f>
        <v/>
      </c>
      <c r="J182" s="67">
        <f>J181-$K$2*U181</f>
        <v/>
      </c>
      <c r="K182" s="67">
        <f>K181-$K$2*V181</f>
        <v/>
      </c>
      <c r="L182" s="67">
        <f>L181-$K$2*W181</f>
        <v/>
      </c>
      <c r="M182" s="67">
        <f>M181-$K$2*X181</f>
        <v/>
      </c>
      <c r="N182" s="67">
        <f>I182+J182*C182+K182*D182+L182*E182+F182*M182</f>
        <v/>
      </c>
      <c r="O182" s="67">
        <f>1/(1+EXP(-N182))</f>
        <v/>
      </c>
      <c r="P182" s="68">
        <f>IF(O182&gt;0.5,1,0)</f>
        <v/>
      </c>
      <c r="Q182" s="68">
        <f>O182-G182</f>
        <v/>
      </c>
      <c r="R182" s="69">
        <f>Q182^2</f>
        <v/>
      </c>
      <c r="S182">
        <f>IF(P182=G182,1,0)</f>
        <v/>
      </c>
      <c r="T182">
        <f>2*(O182-G182)*(1-O182)*O182</f>
        <v/>
      </c>
      <c r="U182">
        <f>2*(O182-G182)*(1-O182)*O182*C182</f>
        <v/>
      </c>
      <c r="V182">
        <f>2*(O182-G182)*(1-O182)*O182*D182</f>
        <v/>
      </c>
      <c r="W182">
        <f>2*(O182-G182)*(1-O182)*O182*E182</f>
        <v/>
      </c>
      <c r="X182">
        <f>2*(O182-G182)*(1-O182)*O182*F182</f>
        <v/>
      </c>
    </row>
    <row r="183" ht="14.25" customHeight="1" s="96">
      <c r="B183" s="66" t="n">
        <v>19</v>
      </c>
      <c r="C183" s="79" t="n">
        <v>5.7</v>
      </c>
      <c r="D183" s="67" t="n">
        <v>3.8</v>
      </c>
      <c r="E183" s="67" t="n">
        <v>1.7</v>
      </c>
      <c r="F183" s="67" t="n">
        <v>0.3</v>
      </c>
      <c r="G183" s="80" t="n">
        <v>0</v>
      </c>
      <c r="I183" s="66">
        <f>I182-$K$2*T182</f>
        <v/>
      </c>
      <c r="J183" s="67">
        <f>J182-$K$2*U182</f>
        <v/>
      </c>
      <c r="K183" s="67">
        <f>K182-$K$2*V182</f>
        <v/>
      </c>
      <c r="L183" s="67">
        <f>L182-$K$2*W182</f>
        <v/>
      </c>
      <c r="M183" s="67">
        <f>M182-$K$2*X182</f>
        <v/>
      </c>
      <c r="N183" s="67">
        <f>I183+J183*C183+K183*D183+L183*E183+F183*M183</f>
        <v/>
      </c>
      <c r="O183" s="67">
        <f>1/(1+EXP(-N183))</f>
        <v/>
      </c>
      <c r="P183" s="68">
        <f>IF(O183&gt;0.5,1,0)</f>
        <v/>
      </c>
      <c r="Q183" s="68">
        <f>O183-G183</f>
        <v/>
      </c>
      <c r="R183" s="69">
        <f>Q183^2</f>
        <v/>
      </c>
      <c r="S183">
        <f>IF(P183=G183,1,0)</f>
        <v/>
      </c>
      <c r="T183">
        <f>2*(O183-G183)*(1-O183)*O183</f>
        <v/>
      </c>
      <c r="U183">
        <f>2*(O183-G183)*(1-O183)*O183*C183</f>
        <v/>
      </c>
      <c r="V183">
        <f>2*(O183-G183)*(1-O183)*O183*D183</f>
        <v/>
      </c>
      <c r="W183">
        <f>2*(O183-G183)*(1-O183)*O183*E183</f>
        <v/>
      </c>
      <c r="X183">
        <f>2*(O183-G183)*(1-O183)*O183*F183</f>
        <v/>
      </c>
    </row>
    <row r="184" ht="14.25" customHeight="1" s="96">
      <c r="B184" s="81" t="n">
        <v>20</v>
      </c>
      <c r="C184" s="82" t="n">
        <v>5.1</v>
      </c>
      <c r="D184" s="83" t="n">
        <v>3.8</v>
      </c>
      <c r="E184" s="83" t="n">
        <v>1.5</v>
      </c>
      <c r="F184" s="83" t="n">
        <v>0.3</v>
      </c>
      <c r="G184" s="84" t="n">
        <v>0</v>
      </c>
      <c r="I184" s="81">
        <f>I183-$K$2*T183</f>
        <v/>
      </c>
      <c r="J184" s="83">
        <f>J183-$K$2*U183</f>
        <v/>
      </c>
      <c r="K184" s="83">
        <f>K183-$K$2*V183</f>
        <v/>
      </c>
      <c r="L184" s="83">
        <f>L183-$K$2*W183</f>
        <v/>
      </c>
      <c r="M184" s="83">
        <f>M183-$K$2*X183</f>
        <v/>
      </c>
      <c r="N184" s="83">
        <f>I184+J184*C184+K184*D184+L184*E184+F184*M184</f>
        <v/>
      </c>
      <c r="O184" s="83">
        <f>1/(1+EXP(-N184))</f>
        <v/>
      </c>
      <c r="P184" s="85">
        <f>IF(O184&gt;0.5,1,0)</f>
        <v/>
      </c>
      <c r="Q184" s="85">
        <f>O184-G184</f>
        <v/>
      </c>
      <c r="R184" s="86">
        <f>Q184^2</f>
        <v/>
      </c>
      <c r="S184">
        <f>IF(P184=G184,1,0)</f>
        <v/>
      </c>
      <c r="T184">
        <f>2*(O184-G184)*(1-O184)*O184</f>
        <v/>
      </c>
      <c r="U184">
        <f>2*(O184-G184)*(1-O184)*O184*C184</f>
        <v/>
      </c>
      <c r="V184">
        <f>2*(O184-G184)*(1-O184)*O184*D184</f>
        <v/>
      </c>
      <c r="W184">
        <f>2*(O184-G184)*(1-O184)*O184*E184</f>
        <v/>
      </c>
      <c r="X184">
        <f>2*(O184-G184)*(1-O184)*O184*F184</f>
        <v/>
      </c>
    </row>
    <row r="185" ht="14.25" customHeight="1" s="96">
      <c r="B185" s="73" t="n">
        <v>21</v>
      </c>
      <c r="C185" s="74" t="n">
        <v>5.4</v>
      </c>
      <c r="D185" s="38" t="n">
        <v>3.4</v>
      </c>
      <c r="E185" s="38" t="n">
        <v>1.7</v>
      </c>
      <c r="F185" s="38" t="n">
        <v>0.2</v>
      </c>
      <c r="G185" s="75" t="n">
        <v>0</v>
      </c>
      <c r="I185" s="73">
        <f>I184-$K$2*T184</f>
        <v/>
      </c>
      <c r="J185" s="38">
        <f>J184-$K$2*U184</f>
        <v/>
      </c>
      <c r="K185" s="38">
        <f>K184-$K$2*V184</f>
        <v/>
      </c>
      <c r="L185" s="38">
        <f>L184-$K$2*W184</f>
        <v/>
      </c>
      <c r="M185" s="38">
        <f>M184-$K$2*X184</f>
        <v/>
      </c>
      <c r="N185" s="38">
        <f>I185+J185*C185+K185*D185+L185*E185+F185*M185</f>
        <v/>
      </c>
      <c r="O185" s="38">
        <f>1/(1+EXP(-N185))</f>
        <v/>
      </c>
      <c r="P185" s="40">
        <f>IF(O185&gt;0.5,1,0)</f>
        <v/>
      </c>
      <c r="Q185" s="40">
        <f>O185-G185</f>
        <v/>
      </c>
      <c r="R185" s="41">
        <f>Q185^2</f>
        <v/>
      </c>
      <c r="S185">
        <f>IF(P185=G185,1,0)</f>
        <v/>
      </c>
      <c r="T185">
        <f>2*(O185-G185)*(1-O185)*O185</f>
        <v/>
      </c>
      <c r="U185">
        <f>2*(O185-G185)*(1-O185)*O185*C185</f>
        <v/>
      </c>
      <c r="V185">
        <f>2*(O185-G185)*(1-O185)*O185*D185</f>
        <v/>
      </c>
      <c r="W185">
        <f>2*(O185-G185)*(1-O185)*O185*E185</f>
        <v/>
      </c>
      <c r="X185">
        <f>2*(O185-G185)*(1-O185)*O185*F185</f>
        <v/>
      </c>
    </row>
    <row r="186" ht="14.25" customHeight="1" s="96">
      <c r="B186" s="44" t="n">
        <v>22</v>
      </c>
      <c r="C186" s="78" t="n">
        <v>5.1</v>
      </c>
      <c r="D186" s="46" t="n">
        <v>3.7</v>
      </c>
      <c r="E186" s="46" t="n">
        <v>1.5</v>
      </c>
      <c r="F186" s="46" t="n">
        <v>0.4</v>
      </c>
      <c r="G186" s="45" t="n">
        <v>0</v>
      </c>
      <c r="I186" s="44">
        <f>I185-$K$2*T185</f>
        <v/>
      </c>
      <c r="J186" s="46">
        <f>J185-$K$2*U185</f>
        <v/>
      </c>
      <c r="K186" s="46">
        <f>K185-$K$2*V185</f>
        <v/>
      </c>
      <c r="L186" s="46">
        <f>L185-$K$2*W185</f>
        <v/>
      </c>
      <c r="M186" s="46">
        <f>M185-$K$2*X185</f>
        <v/>
      </c>
      <c r="N186" s="46">
        <f>I186+J186*C186+K186*D186+L186*E186+F186*M186</f>
        <v/>
      </c>
      <c r="O186" s="46">
        <f>1/(1+EXP(-N186))</f>
        <v/>
      </c>
      <c r="P186" s="47">
        <f>IF(O186&gt;0.5,1,0)</f>
        <v/>
      </c>
      <c r="Q186" s="47">
        <f>O186-G186</f>
        <v/>
      </c>
      <c r="R186" s="48">
        <f>Q186^2</f>
        <v/>
      </c>
      <c r="S186">
        <f>IF(P186=G186,1,0)</f>
        <v/>
      </c>
      <c r="T186">
        <f>2*(O186-G186)*(1-O186)*O186</f>
        <v/>
      </c>
      <c r="U186">
        <f>2*(O186-G186)*(1-O186)*O186*C186</f>
        <v/>
      </c>
      <c r="V186">
        <f>2*(O186-G186)*(1-O186)*O186*D186</f>
        <v/>
      </c>
      <c r="W186">
        <f>2*(O186-G186)*(1-O186)*O186*E186</f>
        <v/>
      </c>
      <c r="X186">
        <f>2*(O186-G186)*(1-O186)*O186*F186</f>
        <v/>
      </c>
    </row>
    <row r="187" ht="14.25" customHeight="1" s="96">
      <c r="B187" s="44" t="n">
        <v>23</v>
      </c>
      <c r="C187" s="78" t="n">
        <v>4.6</v>
      </c>
      <c r="D187" s="46" t="n">
        <v>3.6</v>
      </c>
      <c r="E187" s="46" t="n">
        <v>1</v>
      </c>
      <c r="F187" s="46" t="n">
        <v>0.2</v>
      </c>
      <c r="G187" s="45" t="n">
        <v>0</v>
      </c>
      <c r="I187" s="44">
        <f>I186-$K$2*T186</f>
        <v/>
      </c>
      <c r="J187" s="46">
        <f>J186-$K$2*U186</f>
        <v/>
      </c>
      <c r="K187" s="46">
        <f>K186-$K$2*V186</f>
        <v/>
      </c>
      <c r="L187" s="46">
        <f>L186-$K$2*W186</f>
        <v/>
      </c>
      <c r="M187" s="46">
        <f>M186-$K$2*X186</f>
        <v/>
      </c>
      <c r="N187" s="46">
        <f>I187+J187*C187+K187*D187+L187*E187+F187*M187</f>
        <v/>
      </c>
      <c r="O187" s="46">
        <f>1/(1+EXP(-N187))</f>
        <v/>
      </c>
      <c r="P187" s="47">
        <f>IF(O187&gt;0.5,1,0)</f>
        <v/>
      </c>
      <c r="Q187" s="47">
        <f>O187-G187</f>
        <v/>
      </c>
      <c r="R187" s="48">
        <f>Q187^2</f>
        <v/>
      </c>
      <c r="S187">
        <f>IF(P187=G187,1,0)</f>
        <v/>
      </c>
      <c r="T187">
        <f>2*(O187-G187)*(1-O187)*O187</f>
        <v/>
      </c>
      <c r="U187">
        <f>2*(O187-G187)*(1-O187)*O187*C187</f>
        <v/>
      </c>
      <c r="V187">
        <f>2*(O187-G187)*(1-O187)*O187*D187</f>
        <v/>
      </c>
      <c r="W187">
        <f>2*(O187-G187)*(1-O187)*O187*E187</f>
        <v/>
      </c>
      <c r="X187">
        <f>2*(O187-G187)*(1-O187)*O187*F187</f>
        <v/>
      </c>
    </row>
    <row r="188" ht="14.25" customHeight="1" s="96">
      <c r="B188" s="44" t="n">
        <v>24</v>
      </c>
      <c r="C188" s="78" t="n">
        <v>5.1</v>
      </c>
      <c r="D188" s="46" t="n">
        <v>3.3</v>
      </c>
      <c r="E188" s="46" t="n">
        <v>1.7</v>
      </c>
      <c r="F188" s="46" t="n">
        <v>0.5</v>
      </c>
      <c r="G188" s="45" t="n">
        <v>0</v>
      </c>
      <c r="I188" s="44">
        <f>I187-$K$2*T187</f>
        <v/>
      </c>
      <c r="J188" s="46">
        <f>J187-$K$2*U187</f>
        <v/>
      </c>
      <c r="K188" s="46">
        <f>K187-$K$2*V187</f>
        <v/>
      </c>
      <c r="L188" s="46">
        <f>L187-$K$2*W187</f>
        <v/>
      </c>
      <c r="M188" s="46">
        <f>M187-$K$2*X187</f>
        <v/>
      </c>
      <c r="N188" s="46">
        <f>I188+J188*C188+K188*D188+L188*E188+F188*M188</f>
        <v/>
      </c>
      <c r="O188" s="46">
        <f>1/(1+EXP(-N188))</f>
        <v/>
      </c>
      <c r="P188" s="47">
        <f>IF(O188&gt;0.5,1,0)</f>
        <v/>
      </c>
      <c r="Q188" s="47">
        <f>O188-G188</f>
        <v/>
      </c>
      <c r="R188" s="48">
        <f>Q188^2</f>
        <v/>
      </c>
      <c r="S188">
        <f>IF(P188=G188,1,0)</f>
        <v/>
      </c>
      <c r="T188">
        <f>2*(O188-G188)*(1-O188)*O188</f>
        <v/>
      </c>
      <c r="U188">
        <f>2*(O188-G188)*(1-O188)*O188*C188</f>
        <v/>
      </c>
      <c r="V188">
        <f>2*(O188-G188)*(1-O188)*O188*D188</f>
        <v/>
      </c>
      <c r="W188">
        <f>2*(O188-G188)*(1-O188)*O188*E188</f>
        <v/>
      </c>
      <c r="X188">
        <f>2*(O188-G188)*(1-O188)*O188*F188</f>
        <v/>
      </c>
    </row>
    <row r="189" ht="14.25" customHeight="1" s="96">
      <c r="B189" s="44" t="n">
        <v>25</v>
      </c>
      <c r="C189" s="78" t="n">
        <v>4.8</v>
      </c>
      <c r="D189" s="46" t="n">
        <v>3.4</v>
      </c>
      <c r="E189" s="46" t="n">
        <v>1.9</v>
      </c>
      <c r="F189" s="46" t="n">
        <v>0.2</v>
      </c>
      <c r="G189" s="45" t="n">
        <v>0</v>
      </c>
      <c r="I189" s="44">
        <f>I188-$K$2*T188</f>
        <v/>
      </c>
      <c r="J189" s="46">
        <f>J188-$K$2*U188</f>
        <v/>
      </c>
      <c r="K189" s="46">
        <f>K188-$K$2*V188</f>
        <v/>
      </c>
      <c r="L189" s="46">
        <f>L188-$K$2*W188</f>
        <v/>
      </c>
      <c r="M189" s="46">
        <f>M188-$K$2*X188</f>
        <v/>
      </c>
      <c r="N189" s="46">
        <f>I189+J189*C189+K189*D189+L189*E189+F189*M189</f>
        <v/>
      </c>
      <c r="O189" s="46">
        <f>1/(1+EXP(-N189))</f>
        <v/>
      </c>
      <c r="P189" s="47">
        <f>IF(O189&gt;0.5,1,0)</f>
        <v/>
      </c>
      <c r="Q189" s="47">
        <f>O189-G189</f>
        <v/>
      </c>
      <c r="R189" s="48">
        <f>Q189^2</f>
        <v/>
      </c>
      <c r="S189">
        <f>IF(P189=G189,1,0)</f>
        <v/>
      </c>
      <c r="T189">
        <f>2*(O189-G189)*(1-O189)*O189</f>
        <v/>
      </c>
      <c r="U189">
        <f>2*(O189-G189)*(1-O189)*O189*C189</f>
        <v/>
      </c>
      <c r="V189">
        <f>2*(O189-G189)*(1-O189)*O189*D189</f>
        <v/>
      </c>
      <c r="W189">
        <f>2*(O189-G189)*(1-O189)*O189*E189</f>
        <v/>
      </c>
      <c r="X189">
        <f>2*(O189-G189)*(1-O189)*O189*F189</f>
        <v/>
      </c>
    </row>
    <row r="190" ht="14.25" customHeight="1" s="96">
      <c r="B190" s="44" t="n">
        <v>26</v>
      </c>
      <c r="C190" s="78" t="n">
        <v>5</v>
      </c>
      <c r="D190" s="46" t="n">
        <v>3</v>
      </c>
      <c r="E190" s="46" t="n">
        <v>1.6</v>
      </c>
      <c r="F190" s="46" t="n">
        <v>0.2</v>
      </c>
      <c r="G190" s="45" t="n">
        <v>0</v>
      </c>
      <c r="I190" s="44">
        <f>I189-$K$2*T189</f>
        <v/>
      </c>
      <c r="J190" s="46">
        <f>J189-$K$2*U189</f>
        <v/>
      </c>
      <c r="K190" s="46">
        <f>K189-$K$2*V189</f>
        <v/>
      </c>
      <c r="L190" s="46">
        <f>L189-$K$2*W189</f>
        <v/>
      </c>
      <c r="M190" s="46">
        <f>M189-$K$2*X189</f>
        <v/>
      </c>
      <c r="N190" s="46">
        <f>I190+J190*C190+K190*D190+L190*E190+F190*M190</f>
        <v/>
      </c>
      <c r="O190" s="46">
        <f>1/(1+EXP(-N190))</f>
        <v/>
      </c>
      <c r="P190" s="47">
        <f>IF(O190&gt;0.5,1,0)</f>
        <v/>
      </c>
      <c r="Q190" s="47">
        <f>O190-G190</f>
        <v/>
      </c>
      <c r="R190" s="48">
        <f>Q190^2</f>
        <v/>
      </c>
      <c r="S190">
        <f>IF(P190=G190,1,0)</f>
        <v/>
      </c>
      <c r="T190">
        <f>2*(O190-G190)*(1-O190)*O190</f>
        <v/>
      </c>
      <c r="U190">
        <f>2*(O190-G190)*(1-O190)*O190*C190</f>
        <v/>
      </c>
      <c r="V190">
        <f>2*(O190-G190)*(1-O190)*O190*D190</f>
        <v/>
      </c>
      <c r="W190">
        <f>2*(O190-G190)*(1-O190)*O190*E190</f>
        <v/>
      </c>
      <c r="X190">
        <f>2*(O190-G190)*(1-O190)*O190*F190</f>
        <v/>
      </c>
    </row>
    <row r="191" ht="14.25" customHeight="1" s="96">
      <c r="B191" s="44" t="n">
        <v>27</v>
      </c>
      <c r="C191" s="78" t="n">
        <v>5</v>
      </c>
      <c r="D191" s="46" t="n">
        <v>3.4</v>
      </c>
      <c r="E191" s="46" t="n">
        <v>1.6</v>
      </c>
      <c r="F191" s="46" t="n">
        <v>0.4</v>
      </c>
      <c r="G191" s="45" t="n">
        <v>0</v>
      </c>
      <c r="I191" s="44">
        <f>I190-$K$2*T190</f>
        <v/>
      </c>
      <c r="J191" s="46">
        <f>J190-$K$2*U190</f>
        <v/>
      </c>
      <c r="K191" s="46">
        <f>K190-$K$2*V190</f>
        <v/>
      </c>
      <c r="L191" s="46">
        <f>L190-$K$2*W190</f>
        <v/>
      </c>
      <c r="M191" s="46">
        <f>M190-$K$2*X190</f>
        <v/>
      </c>
      <c r="N191" s="46">
        <f>I191+J191*C191+K191*D191+L191*E191+F191*M191</f>
        <v/>
      </c>
      <c r="O191" s="46">
        <f>1/(1+EXP(-N191))</f>
        <v/>
      </c>
      <c r="P191" s="47">
        <f>IF(O191&gt;0.5,1,0)</f>
        <v/>
      </c>
      <c r="Q191" s="47">
        <f>O191-G191</f>
        <v/>
      </c>
      <c r="R191" s="48">
        <f>Q191^2</f>
        <v/>
      </c>
      <c r="S191">
        <f>IF(P191=G191,1,0)</f>
        <v/>
      </c>
      <c r="T191">
        <f>2*(O191-G191)*(1-O191)*O191</f>
        <v/>
      </c>
      <c r="U191">
        <f>2*(O191-G191)*(1-O191)*O191*C191</f>
        <v/>
      </c>
      <c r="V191">
        <f>2*(O191-G191)*(1-O191)*O191*D191</f>
        <v/>
      </c>
      <c r="W191">
        <f>2*(O191-G191)*(1-O191)*O191*E191</f>
        <v/>
      </c>
      <c r="X191">
        <f>2*(O191-G191)*(1-O191)*O191*F191</f>
        <v/>
      </c>
    </row>
    <row r="192" ht="14.25" customHeight="1" s="96">
      <c r="B192" s="44" t="n">
        <v>28</v>
      </c>
      <c r="C192" s="78" t="n">
        <v>5.2</v>
      </c>
      <c r="D192" s="46" t="n">
        <v>3.5</v>
      </c>
      <c r="E192" s="46" t="n">
        <v>1.5</v>
      </c>
      <c r="F192" s="46" t="n">
        <v>0.2</v>
      </c>
      <c r="G192" s="45" t="n">
        <v>0</v>
      </c>
      <c r="I192" s="44">
        <f>I191-$K$2*T191</f>
        <v/>
      </c>
      <c r="J192" s="46">
        <f>J191-$K$2*U191</f>
        <v/>
      </c>
      <c r="K192" s="46">
        <f>K191-$K$2*V191</f>
        <v/>
      </c>
      <c r="L192" s="46">
        <f>L191-$K$2*W191</f>
        <v/>
      </c>
      <c r="M192" s="46">
        <f>M191-$K$2*X191</f>
        <v/>
      </c>
      <c r="N192" s="46">
        <f>I192+J192*C192+K192*D192+L192*E192+F192*M192</f>
        <v/>
      </c>
      <c r="O192" s="46">
        <f>1/(1+EXP(-N192))</f>
        <v/>
      </c>
      <c r="P192" s="47">
        <f>IF(O192&gt;0.5,1,0)</f>
        <v/>
      </c>
      <c r="Q192" s="47">
        <f>O192-G192</f>
        <v/>
      </c>
      <c r="R192" s="48">
        <f>Q192^2</f>
        <v/>
      </c>
      <c r="S192">
        <f>IF(P192=G192,1,0)</f>
        <v/>
      </c>
      <c r="T192">
        <f>2*(O192-G192)*(1-O192)*O192</f>
        <v/>
      </c>
      <c r="U192">
        <f>2*(O192-G192)*(1-O192)*O192*C192</f>
        <v/>
      </c>
      <c r="V192">
        <f>2*(O192-G192)*(1-O192)*O192*D192</f>
        <v/>
      </c>
      <c r="W192">
        <f>2*(O192-G192)*(1-O192)*O192*E192</f>
        <v/>
      </c>
      <c r="X192">
        <f>2*(O192-G192)*(1-O192)*O192*F192</f>
        <v/>
      </c>
    </row>
    <row r="193" ht="14.25" customHeight="1" s="96">
      <c r="B193" s="44" t="n">
        <v>29</v>
      </c>
      <c r="C193" s="78" t="n">
        <v>5.2</v>
      </c>
      <c r="D193" s="46" t="n">
        <v>3.4</v>
      </c>
      <c r="E193" s="46" t="n">
        <v>1.4</v>
      </c>
      <c r="F193" s="46" t="n">
        <v>0.2</v>
      </c>
      <c r="G193" s="45" t="n">
        <v>0</v>
      </c>
      <c r="I193" s="44">
        <f>I192-$K$2*T192</f>
        <v/>
      </c>
      <c r="J193" s="46">
        <f>J192-$K$2*U192</f>
        <v/>
      </c>
      <c r="K193" s="46">
        <f>K192-$K$2*V192</f>
        <v/>
      </c>
      <c r="L193" s="46">
        <f>L192-$K$2*W192</f>
        <v/>
      </c>
      <c r="M193" s="46">
        <f>M192-$K$2*X192</f>
        <v/>
      </c>
      <c r="N193" s="46">
        <f>I193+J193*C193+K193*D193+L193*E193+F193*M193</f>
        <v/>
      </c>
      <c r="O193" s="46">
        <f>1/(1+EXP(-N193))</f>
        <v/>
      </c>
      <c r="P193" s="47">
        <f>IF(O193&gt;0.5,1,0)</f>
        <v/>
      </c>
      <c r="Q193" s="47">
        <f>O193-G193</f>
        <v/>
      </c>
      <c r="R193" s="48">
        <f>Q193^2</f>
        <v/>
      </c>
      <c r="S193">
        <f>IF(P193=G193,1,0)</f>
        <v/>
      </c>
      <c r="T193">
        <f>2*(O193-G193)*(1-O193)*O193</f>
        <v/>
      </c>
      <c r="U193">
        <f>2*(O193-G193)*(1-O193)*O193*C193</f>
        <v/>
      </c>
      <c r="V193">
        <f>2*(O193-G193)*(1-O193)*O193*D193</f>
        <v/>
      </c>
      <c r="W193">
        <f>2*(O193-G193)*(1-O193)*O193*E193</f>
        <v/>
      </c>
      <c r="X193">
        <f>2*(O193-G193)*(1-O193)*O193*F193</f>
        <v/>
      </c>
    </row>
    <row r="194" ht="14.25" customHeight="1" s="96">
      <c r="B194" s="44" t="n">
        <v>30</v>
      </c>
      <c r="C194" s="78" t="n">
        <v>4.7</v>
      </c>
      <c r="D194" s="46" t="n">
        <v>3.2</v>
      </c>
      <c r="E194" s="46" t="n">
        <v>1.6</v>
      </c>
      <c r="F194" s="46" t="n">
        <v>0.2</v>
      </c>
      <c r="G194" s="45" t="n">
        <v>0</v>
      </c>
      <c r="I194" s="44">
        <f>I193-$K$2*T193</f>
        <v/>
      </c>
      <c r="J194" s="46">
        <f>J193-$K$2*U193</f>
        <v/>
      </c>
      <c r="K194" s="46">
        <f>K193-$K$2*V193</f>
        <v/>
      </c>
      <c r="L194" s="46">
        <f>L193-$K$2*W193</f>
        <v/>
      </c>
      <c r="M194" s="46">
        <f>M193-$K$2*X193</f>
        <v/>
      </c>
      <c r="N194" s="46">
        <f>I194+J194*C194+K194*D194+L194*E194+F194*M194</f>
        <v/>
      </c>
      <c r="O194" s="46">
        <f>1/(1+EXP(-N194))</f>
        <v/>
      </c>
      <c r="P194" s="47">
        <f>IF(O194&gt;0.5,1,0)</f>
        <v/>
      </c>
      <c r="Q194" s="47">
        <f>O194-G194</f>
        <v/>
      </c>
      <c r="R194" s="48">
        <f>Q194^2</f>
        <v/>
      </c>
      <c r="S194">
        <f>IF(P194=G194,1,0)</f>
        <v/>
      </c>
      <c r="T194">
        <f>2*(O194-G194)*(1-O194)*O194</f>
        <v/>
      </c>
      <c r="U194">
        <f>2*(O194-G194)*(1-O194)*O194*C194</f>
        <v/>
      </c>
      <c r="V194">
        <f>2*(O194-G194)*(1-O194)*O194*D194</f>
        <v/>
      </c>
      <c r="W194">
        <f>2*(O194-G194)*(1-O194)*O194*E194</f>
        <v/>
      </c>
      <c r="X194">
        <f>2*(O194-G194)*(1-O194)*O194*F194</f>
        <v/>
      </c>
    </row>
    <row r="195" ht="14.25" customHeight="1" s="96">
      <c r="B195" s="44" t="n">
        <v>31</v>
      </c>
      <c r="C195" s="78" t="n">
        <v>4.8</v>
      </c>
      <c r="D195" s="46" t="n">
        <v>3.1</v>
      </c>
      <c r="E195" s="46" t="n">
        <v>1.6</v>
      </c>
      <c r="F195" s="46" t="n">
        <v>0.2</v>
      </c>
      <c r="G195" s="45" t="n">
        <v>0</v>
      </c>
      <c r="I195" s="44">
        <f>I194-$K$2*T194</f>
        <v/>
      </c>
      <c r="J195" s="46">
        <f>J194-$K$2*U194</f>
        <v/>
      </c>
      <c r="K195" s="46">
        <f>K194-$K$2*V194</f>
        <v/>
      </c>
      <c r="L195" s="46">
        <f>L194-$K$2*W194</f>
        <v/>
      </c>
      <c r="M195" s="46">
        <f>M194-$K$2*X194</f>
        <v/>
      </c>
      <c r="N195" s="46">
        <f>I195+J195*C195+K195*D195+L195*E195+F195*M195</f>
        <v/>
      </c>
      <c r="O195" s="46">
        <f>1/(1+EXP(-N195))</f>
        <v/>
      </c>
      <c r="P195" s="47">
        <f>IF(O195&gt;0.5,1,0)</f>
        <v/>
      </c>
      <c r="Q195" s="47">
        <f>O195-G195</f>
        <v/>
      </c>
      <c r="R195" s="48">
        <f>Q195^2</f>
        <v/>
      </c>
      <c r="S195">
        <f>IF(P195=G195,1,0)</f>
        <v/>
      </c>
      <c r="T195">
        <f>2*(O195-G195)*(1-O195)*O195</f>
        <v/>
      </c>
      <c r="U195">
        <f>2*(O195-G195)*(1-O195)*O195*C195</f>
        <v/>
      </c>
      <c r="V195">
        <f>2*(O195-G195)*(1-O195)*O195*D195</f>
        <v/>
      </c>
      <c r="W195">
        <f>2*(O195-G195)*(1-O195)*O195*E195</f>
        <v/>
      </c>
      <c r="X195">
        <f>2*(O195-G195)*(1-O195)*O195*F195</f>
        <v/>
      </c>
    </row>
    <row r="196" ht="14.25" customHeight="1" s="96">
      <c r="B196" s="44" t="n">
        <v>32</v>
      </c>
      <c r="C196" s="78" t="n">
        <v>5.4</v>
      </c>
      <c r="D196" s="46" t="n">
        <v>3.4</v>
      </c>
      <c r="E196" s="46" t="n">
        <v>1.5</v>
      </c>
      <c r="F196" s="46" t="n">
        <v>0.4</v>
      </c>
      <c r="G196" s="45" t="n">
        <v>0</v>
      </c>
      <c r="I196" s="44">
        <f>I195-$K$2*T195</f>
        <v/>
      </c>
      <c r="J196" s="46">
        <f>J195-$K$2*U195</f>
        <v/>
      </c>
      <c r="K196" s="46">
        <f>K195-$K$2*V195</f>
        <v/>
      </c>
      <c r="L196" s="46">
        <f>L195-$K$2*W195</f>
        <v/>
      </c>
      <c r="M196" s="46">
        <f>M195-$K$2*X195</f>
        <v/>
      </c>
      <c r="N196" s="46">
        <f>I196+J196*C196+K196*D196+L196*E196+F196*M196</f>
        <v/>
      </c>
      <c r="O196" s="46">
        <f>1/(1+EXP(-N196))</f>
        <v/>
      </c>
      <c r="P196" s="47">
        <f>IF(O196&gt;0.5,1,0)</f>
        <v/>
      </c>
      <c r="Q196" s="47">
        <f>O196-G196</f>
        <v/>
      </c>
      <c r="R196" s="48">
        <f>Q196^2</f>
        <v/>
      </c>
      <c r="S196">
        <f>IF(P196=G196,1,0)</f>
        <v/>
      </c>
      <c r="T196">
        <f>2*(O196-G196)*(1-O196)*O196</f>
        <v/>
      </c>
      <c r="U196">
        <f>2*(O196-G196)*(1-O196)*O196*C196</f>
        <v/>
      </c>
      <c r="V196">
        <f>2*(O196-G196)*(1-O196)*O196*D196</f>
        <v/>
      </c>
      <c r="W196">
        <f>2*(O196-G196)*(1-O196)*O196*E196</f>
        <v/>
      </c>
      <c r="X196">
        <f>2*(O196-G196)*(1-O196)*O196*F196</f>
        <v/>
      </c>
    </row>
    <row r="197" ht="14.25" customHeight="1" s="96">
      <c r="B197" s="44" t="n">
        <v>33</v>
      </c>
      <c r="C197" s="78" t="n">
        <v>5.2</v>
      </c>
      <c r="D197" s="46" t="n">
        <v>4.1</v>
      </c>
      <c r="E197" s="46" t="n">
        <v>1.5</v>
      </c>
      <c r="F197" s="46" t="n">
        <v>0.1</v>
      </c>
      <c r="G197" s="45" t="n">
        <v>0</v>
      </c>
      <c r="I197" s="44">
        <f>I196-$K$2*T196</f>
        <v/>
      </c>
      <c r="J197" s="46">
        <f>J196-$K$2*U196</f>
        <v/>
      </c>
      <c r="K197" s="46">
        <f>K196-$K$2*V196</f>
        <v/>
      </c>
      <c r="L197" s="46">
        <f>L196-$K$2*W196</f>
        <v/>
      </c>
      <c r="M197" s="46">
        <f>M196-$K$2*X196</f>
        <v/>
      </c>
      <c r="N197" s="46">
        <f>I197+J197*C197+K197*D197+L197*E197+F197*M197</f>
        <v/>
      </c>
      <c r="O197" s="46">
        <f>1/(1+EXP(-N197))</f>
        <v/>
      </c>
      <c r="P197" s="47">
        <f>IF(O197&gt;0.5,1,0)</f>
        <v/>
      </c>
      <c r="Q197" s="47">
        <f>O197-G197</f>
        <v/>
      </c>
      <c r="R197" s="48">
        <f>Q197^2</f>
        <v/>
      </c>
      <c r="S197">
        <f>IF(P197=G197,1,0)</f>
        <v/>
      </c>
      <c r="T197">
        <f>2*(O197-G197)*(1-O197)*O197</f>
        <v/>
      </c>
      <c r="U197">
        <f>2*(O197-G197)*(1-O197)*O197*C197</f>
        <v/>
      </c>
      <c r="V197">
        <f>2*(O197-G197)*(1-O197)*O197*D197</f>
        <v/>
      </c>
      <c r="W197">
        <f>2*(O197-G197)*(1-O197)*O197*E197</f>
        <v/>
      </c>
      <c r="X197">
        <f>2*(O197-G197)*(1-O197)*O197*F197</f>
        <v/>
      </c>
    </row>
    <row r="198" ht="14.25" customHeight="1" s="96">
      <c r="B198" s="44" t="n">
        <v>34</v>
      </c>
      <c r="C198" s="78" t="n">
        <v>5.5</v>
      </c>
      <c r="D198" s="46" t="n">
        <v>4.2</v>
      </c>
      <c r="E198" s="46" t="n">
        <v>1.4</v>
      </c>
      <c r="F198" s="46" t="n">
        <v>0.2</v>
      </c>
      <c r="G198" s="45" t="n">
        <v>0</v>
      </c>
      <c r="I198" s="44">
        <f>I197-$K$2*T197</f>
        <v/>
      </c>
      <c r="J198" s="46">
        <f>J197-$K$2*U197</f>
        <v/>
      </c>
      <c r="K198" s="46">
        <f>K197-$K$2*V197</f>
        <v/>
      </c>
      <c r="L198" s="46">
        <f>L197-$K$2*W197</f>
        <v/>
      </c>
      <c r="M198" s="46">
        <f>M197-$K$2*X197</f>
        <v/>
      </c>
      <c r="N198" s="46">
        <f>I198+J198*C198+K198*D198+L198*E198+F198*M198</f>
        <v/>
      </c>
      <c r="O198" s="46">
        <f>1/(1+EXP(-N198))</f>
        <v/>
      </c>
      <c r="P198" s="47">
        <f>IF(O198&gt;0.5,1,0)</f>
        <v/>
      </c>
      <c r="Q198" s="47">
        <f>O198-G198</f>
        <v/>
      </c>
      <c r="R198" s="48">
        <f>Q198^2</f>
        <v/>
      </c>
      <c r="S198">
        <f>IF(P198=G198,1,0)</f>
        <v/>
      </c>
      <c r="T198">
        <f>2*(O198-G198)*(1-O198)*O198</f>
        <v/>
      </c>
      <c r="U198">
        <f>2*(O198-G198)*(1-O198)*O198*C198</f>
        <v/>
      </c>
      <c r="V198">
        <f>2*(O198-G198)*(1-O198)*O198*D198</f>
        <v/>
      </c>
      <c r="W198">
        <f>2*(O198-G198)*(1-O198)*O198*E198</f>
        <v/>
      </c>
      <c r="X198">
        <f>2*(O198-G198)*(1-O198)*O198*F198</f>
        <v/>
      </c>
    </row>
    <row r="199" ht="14.25" customHeight="1" s="96">
      <c r="B199" s="44" t="n">
        <v>35</v>
      </c>
      <c r="C199" s="78" t="n">
        <v>4.9</v>
      </c>
      <c r="D199" s="46" t="n">
        <v>3.1</v>
      </c>
      <c r="E199" s="46" t="n">
        <v>1.5</v>
      </c>
      <c r="F199" s="46" t="n">
        <v>0.1</v>
      </c>
      <c r="G199" s="45" t="n">
        <v>0</v>
      </c>
      <c r="I199" s="44">
        <f>I198-$K$2*T198</f>
        <v/>
      </c>
      <c r="J199" s="46">
        <f>J198-$K$2*U198</f>
        <v/>
      </c>
      <c r="K199" s="46">
        <f>K198-$K$2*V198</f>
        <v/>
      </c>
      <c r="L199" s="46">
        <f>L198-$K$2*W198</f>
        <v/>
      </c>
      <c r="M199" s="46">
        <f>M198-$K$2*X198</f>
        <v/>
      </c>
      <c r="N199" s="46">
        <f>I199+J199*C199+K199*D199+L199*E199+F199*M199</f>
        <v/>
      </c>
      <c r="O199" s="46">
        <f>1/(1+EXP(-N199))</f>
        <v/>
      </c>
      <c r="P199" s="47">
        <f>IF(O199&gt;0.5,1,0)</f>
        <v/>
      </c>
      <c r="Q199" s="47">
        <f>O199-G199</f>
        <v/>
      </c>
      <c r="R199" s="48">
        <f>Q199^2</f>
        <v/>
      </c>
      <c r="S199">
        <f>IF(P199=G199,1,0)</f>
        <v/>
      </c>
      <c r="T199">
        <f>2*(O199-G199)*(1-O199)*O199</f>
        <v/>
      </c>
      <c r="U199">
        <f>2*(O199-G199)*(1-O199)*O199*C199</f>
        <v/>
      </c>
      <c r="V199">
        <f>2*(O199-G199)*(1-O199)*O199*D199</f>
        <v/>
      </c>
      <c r="W199">
        <f>2*(O199-G199)*(1-O199)*O199*E199</f>
        <v/>
      </c>
      <c r="X199">
        <f>2*(O199-G199)*(1-O199)*O199*F199</f>
        <v/>
      </c>
    </row>
    <row r="200" ht="14.25" customHeight="1" s="96">
      <c r="B200" s="44" t="n">
        <v>36</v>
      </c>
      <c r="C200" s="78" t="n">
        <v>5</v>
      </c>
      <c r="D200" s="46" t="n">
        <v>3.2</v>
      </c>
      <c r="E200" s="46" t="n">
        <v>1.2</v>
      </c>
      <c r="F200" s="46" t="n">
        <v>0.2</v>
      </c>
      <c r="G200" s="45" t="n">
        <v>0</v>
      </c>
      <c r="I200" s="44">
        <f>I199-$K$2*T199</f>
        <v/>
      </c>
      <c r="J200" s="46">
        <f>J199-$K$2*U199</f>
        <v/>
      </c>
      <c r="K200" s="46">
        <f>K199-$K$2*V199</f>
        <v/>
      </c>
      <c r="L200" s="46">
        <f>L199-$K$2*W199</f>
        <v/>
      </c>
      <c r="M200" s="46">
        <f>M199-$K$2*X199</f>
        <v/>
      </c>
      <c r="N200" s="46">
        <f>I200+J200*C200+K200*D200+L200*E200+F200*M200</f>
        <v/>
      </c>
      <c r="O200" s="46">
        <f>1/(1+EXP(-N200))</f>
        <v/>
      </c>
      <c r="P200" s="47">
        <f>IF(O200&gt;0.5,1,0)</f>
        <v/>
      </c>
      <c r="Q200" s="47">
        <f>O200-G200</f>
        <v/>
      </c>
      <c r="R200" s="48">
        <f>Q200^2</f>
        <v/>
      </c>
      <c r="S200">
        <f>IF(P200=G200,1,0)</f>
        <v/>
      </c>
      <c r="T200">
        <f>2*(O200-G200)*(1-O200)*O200</f>
        <v/>
      </c>
      <c r="U200">
        <f>2*(O200-G200)*(1-O200)*O200*C200</f>
        <v/>
      </c>
      <c r="V200">
        <f>2*(O200-G200)*(1-O200)*O200*D200</f>
        <v/>
      </c>
      <c r="W200">
        <f>2*(O200-G200)*(1-O200)*O200*E200</f>
        <v/>
      </c>
      <c r="X200">
        <f>2*(O200-G200)*(1-O200)*O200*F200</f>
        <v/>
      </c>
    </row>
    <row r="201" ht="14.25" customHeight="1" s="96">
      <c r="B201" s="44" t="n">
        <v>37</v>
      </c>
      <c r="C201" s="78" t="n">
        <v>5.5</v>
      </c>
      <c r="D201" s="46" t="n">
        <v>3.5</v>
      </c>
      <c r="E201" s="46" t="n">
        <v>1.3</v>
      </c>
      <c r="F201" s="46" t="n">
        <v>0.2</v>
      </c>
      <c r="G201" s="45" t="n">
        <v>0</v>
      </c>
      <c r="I201" s="44">
        <f>I200-$K$2*T200</f>
        <v/>
      </c>
      <c r="J201" s="46">
        <f>J200-$K$2*U200</f>
        <v/>
      </c>
      <c r="K201" s="46">
        <f>K200-$K$2*V200</f>
        <v/>
      </c>
      <c r="L201" s="46">
        <f>L200-$K$2*W200</f>
        <v/>
      </c>
      <c r="M201" s="46">
        <f>M200-$K$2*X200</f>
        <v/>
      </c>
      <c r="N201" s="46">
        <f>I201+J201*C201+K201*D201+L201*E201+F201*M201</f>
        <v/>
      </c>
      <c r="O201" s="46">
        <f>1/(1+EXP(-N201))</f>
        <v/>
      </c>
      <c r="P201" s="47">
        <f>IF(O201&gt;0.5,1,0)</f>
        <v/>
      </c>
      <c r="Q201" s="47">
        <f>O201-G201</f>
        <v/>
      </c>
      <c r="R201" s="48">
        <f>Q201^2</f>
        <v/>
      </c>
      <c r="S201">
        <f>IF(P201=G201,1,0)</f>
        <v/>
      </c>
      <c r="T201">
        <f>2*(O201-G201)*(1-O201)*O201</f>
        <v/>
      </c>
      <c r="U201">
        <f>2*(O201-G201)*(1-O201)*O201*C201</f>
        <v/>
      </c>
      <c r="V201">
        <f>2*(O201-G201)*(1-O201)*O201*D201</f>
        <v/>
      </c>
      <c r="W201">
        <f>2*(O201-G201)*(1-O201)*O201*E201</f>
        <v/>
      </c>
      <c r="X201">
        <f>2*(O201-G201)*(1-O201)*O201*F201</f>
        <v/>
      </c>
    </row>
    <row r="202" ht="14.25" customHeight="1" s="96">
      <c r="B202" s="44" t="n">
        <v>38</v>
      </c>
      <c r="C202" s="78" t="n">
        <v>4.9</v>
      </c>
      <c r="D202" s="46" t="n">
        <v>3.1</v>
      </c>
      <c r="E202" s="46" t="n">
        <v>1.5</v>
      </c>
      <c r="F202" s="46" t="n">
        <v>0.1</v>
      </c>
      <c r="G202" s="45" t="n">
        <v>0</v>
      </c>
      <c r="I202" s="44">
        <f>I201-$K$2*T201</f>
        <v/>
      </c>
      <c r="J202" s="46">
        <f>J201-$K$2*U201</f>
        <v/>
      </c>
      <c r="K202" s="46">
        <f>K201-$K$2*V201</f>
        <v/>
      </c>
      <c r="L202" s="46">
        <f>L201-$K$2*W201</f>
        <v/>
      </c>
      <c r="M202" s="46">
        <f>M201-$K$2*X201</f>
        <v/>
      </c>
      <c r="N202" s="46">
        <f>I202+J202*C202+K202*D202+L202*E202+F202*M202</f>
        <v/>
      </c>
      <c r="O202" s="46">
        <f>1/(1+EXP(-N202))</f>
        <v/>
      </c>
      <c r="P202" s="47">
        <f>IF(O202&gt;0.5,1,0)</f>
        <v/>
      </c>
      <c r="Q202" s="47">
        <f>O202-G202</f>
        <v/>
      </c>
      <c r="R202" s="48">
        <f>Q202^2</f>
        <v/>
      </c>
      <c r="S202">
        <f>IF(P202=G202,1,0)</f>
        <v/>
      </c>
      <c r="T202">
        <f>2*(O202-G202)*(1-O202)*O202</f>
        <v/>
      </c>
      <c r="U202">
        <f>2*(O202-G202)*(1-O202)*O202*C202</f>
        <v/>
      </c>
      <c r="V202">
        <f>2*(O202-G202)*(1-O202)*O202*D202</f>
        <v/>
      </c>
      <c r="W202">
        <f>2*(O202-G202)*(1-O202)*O202*E202</f>
        <v/>
      </c>
      <c r="X202">
        <f>2*(O202-G202)*(1-O202)*O202*F202</f>
        <v/>
      </c>
    </row>
    <row r="203" ht="14.25" customHeight="1" s="96">
      <c r="B203" s="44" t="n">
        <v>39</v>
      </c>
      <c r="C203" s="78" t="n">
        <v>4.4</v>
      </c>
      <c r="D203" s="46" t="n">
        <v>3</v>
      </c>
      <c r="E203" s="46" t="n">
        <v>1.3</v>
      </c>
      <c r="F203" s="46" t="n">
        <v>0.2</v>
      </c>
      <c r="G203" s="45" t="n">
        <v>0</v>
      </c>
      <c r="I203" s="44">
        <f>I202-$K$2*T202</f>
        <v/>
      </c>
      <c r="J203" s="46">
        <f>J202-$K$2*U202</f>
        <v/>
      </c>
      <c r="K203" s="46">
        <f>K202-$K$2*V202</f>
        <v/>
      </c>
      <c r="L203" s="46">
        <f>L202-$K$2*W202</f>
        <v/>
      </c>
      <c r="M203" s="46">
        <f>M202-$K$2*X202</f>
        <v/>
      </c>
      <c r="N203" s="46">
        <f>I203+J203*C203+K203*D203+L203*E203+F203*M203</f>
        <v/>
      </c>
      <c r="O203" s="46">
        <f>1/(1+EXP(-N203))</f>
        <v/>
      </c>
      <c r="P203" s="47">
        <f>IF(O203&gt;0.5,1,0)</f>
        <v/>
      </c>
      <c r="Q203" s="47">
        <f>O203-G203</f>
        <v/>
      </c>
      <c r="R203" s="48">
        <f>Q203^2</f>
        <v/>
      </c>
      <c r="S203">
        <f>IF(P203=G203,1,0)</f>
        <v/>
      </c>
      <c r="T203">
        <f>2*(O203-G203)*(1-O203)*O203</f>
        <v/>
      </c>
      <c r="U203">
        <f>2*(O203-G203)*(1-O203)*O203*C203</f>
        <v/>
      </c>
      <c r="V203">
        <f>2*(O203-G203)*(1-O203)*O203*D203</f>
        <v/>
      </c>
      <c r="W203">
        <f>2*(O203-G203)*(1-O203)*O203*E203</f>
        <v/>
      </c>
      <c r="X203">
        <f>2*(O203-G203)*(1-O203)*O203*F203</f>
        <v/>
      </c>
    </row>
    <row r="204" ht="14.25" customHeight="1" s="96">
      <c r="B204" s="44" t="n">
        <v>40</v>
      </c>
      <c r="C204" s="78" t="n">
        <v>5.1</v>
      </c>
      <c r="D204" s="46" t="n">
        <v>3.4</v>
      </c>
      <c r="E204" s="46" t="n">
        <v>1.5</v>
      </c>
      <c r="F204" s="46" t="n">
        <v>0.2</v>
      </c>
      <c r="G204" s="45" t="n">
        <v>0</v>
      </c>
      <c r="I204" s="44">
        <f>I203-$K$2*T203</f>
        <v/>
      </c>
      <c r="J204" s="46">
        <f>J203-$K$2*U203</f>
        <v/>
      </c>
      <c r="K204" s="46">
        <f>K203-$K$2*V203</f>
        <v/>
      </c>
      <c r="L204" s="46">
        <f>L203-$K$2*W203</f>
        <v/>
      </c>
      <c r="M204" s="46">
        <f>M203-$K$2*X203</f>
        <v/>
      </c>
      <c r="N204" s="46">
        <f>I204+J204*C204+K204*D204+L204*E204+F204*M204</f>
        <v/>
      </c>
      <c r="O204" s="46">
        <f>1/(1+EXP(-N204))</f>
        <v/>
      </c>
      <c r="P204" s="47">
        <f>IF(O204&gt;0.5,1,0)</f>
        <v/>
      </c>
      <c r="Q204" s="47">
        <f>O204-G204</f>
        <v/>
      </c>
      <c r="R204" s="48">
        <f>Q204^2</f>
        <v/>
      </c>
      <c r="S204">
        <f>IF(P204=G204,1,0)</f>
        <v/>
      </c>
      <c r="T204">
        <f>2*(O204-G204)*(1-O204)*O204</f>
        <v/>
      </c>
      <c r="U204">
        <f>2*(O204-G204)*(1-O204)*O204*C204</f>
        <v/>
      </c>
      <c r="V204">
        <f>2*(O204-G204)*(1-O204)*O204*D204</f>
        <v/>
      </c>
      <c r="W204">
        <f>2*(O204-G204)*(1-O204)*O204*E204</f>
        <v/>
      </c>
      <c r="X204">
        <f>2*(O204-G204)*(1-O204)*O204*F204</f>
        <v/>
      </c>
    </row>
    <row r="205" ht="14.25" customHeight="1" s="96">
      <c r="B205" s="44" t="n">
        <v>41</v>
      </c>
      <c r="C205" s="78" t="n">
        <v>7</v>
      </c>
      <c r="D205" s="46" t="n">
        <v>3.2</v>
      </c>
      <c r="E205" s="46" t="n">
        <v>4.7</v>
      </c>
      <c r="F205" s="46" t="n">
        <v>1.4</v>
      </c>
      <c r="G205" s="45" t="n">
        <v>1</v>
      </c>
      <c r="I205" s="44">
        <f>I204-$K$2*T204</f>
        <v/>
      </c>
      <c r="J205" s="46">
        <f>J204-$K$2*U204</f>
        <v/>
      </c>
      <c r="K205" s="46">
        <f>K204-$K$2*V204</f>
        <v/>
      </c>
      <c r="L205" s="46">
        <f>L204-$K$2*W204</f>
        <v/>
      </c>
      <c r="M205" s="46">
        <f>M204-$K$2*X204</f>
        <v/>
      </c>
      <c r="N205" s="46">
        <f>I205+J205*C205+K205*D205+L205*E205+F205*M205</f>
        <v/>
      </c>
      <c r="O205" s="46">
        <f>1/(1+EXP(-N205))</f>
        <v/>
      </c>
      <c r="P205" s="47">
        <f>IF(O205&gt;0.5,1,0)</f>
        <v/>
      </c>
      <c r="Q205" s="47">
        <f>O205-G205</f>
        <v/>
      </c>
      <c r="R205" s="48">
        <f>Q205^2</f>
        <v/>
      </c>
      <c r="S205">
        <f>IF(P205=G205,1,0)</f>
        <v/>
      </c>
      <c r="T205">
        <f>2*(O205-G205)*(1-O205)*O205</f>
        <v/>
      </c>
      <c r="U205">
        <f>2*(O205-G205)*(1-O205)*O205*C205</f>
        <v/>
      </c>
      <c r="V205">
        <f>2*(O205-G205)*(1-O205)*O205*D205</f>
        <v/>
      </c>
      <c r="W205">
        <f>2*(O205-G205)*(1-O205)*O205*E205</f>
        <v/>
      </c>
      <c r="X205">
        <f>2*(O205-G205)*(1-O205)*O205*F205</f>
        <v/>
      </c>
    </row>
    <row r="206" ht="14.25" customHeight="1" s="96">
      <c r="B206" s="44" t="n">
        <v>42</v>
      </c>
      <c r="C206" s="78" t="n">
        <v>6.4</v>
      </c>
      <c r="D206" s="46" t="n">
        <v>3.2</v>
      </c>
      <c r="E206" s="46" t="n">
        <v>4.5</v>
      </c>
      <c r="F206" s="46" t="n">
        <v>1.5</v>
      </c>
      <c r="G206" s="45" t="n">
        <v>1</v>
      </c>
      <c r="I206" s="44">
        <f>I205-$K$2*T205</f>
        <v/>
      </c>
      <c r="J206" s="46">
        <f>J205-$K$2*U205</f>
        <v/>
      </c>
      <c r="K206" s="46">
        <f>K205-$K$2*V205</f>
        <v/>
      </c>
      <c r="L206" s="46">
        <f>L205-$K$2*W205</f>
        <v/>
      </c>
      <c r="M206" s="46">
        <f>M205-$K$2*X205</f>
        <v/>
      </c>
      <c r="N206" s="46">
        <f>I206+J206*C206+K206*D206+L206*E206+F206*M206</f>
        <v/>
      </c>
      <c r="O206" s="46">
        <f>1/(1+EXP(-N206))</f>
        <v/>
      </c>
      <c r="P206" s="47">
        <f>IF(O206&gt;0.5,1,0)</f>
        <v/>
      </c>
      <c r="Q206" s="47">
        <f>O206-G206</f>
        <v/>
      </c>
      <c r="R206" s="48">
        <f>Q206^2</f>
        <v/>
      </c>
      <c r="S206">
        <f>IF(P206=G206,1,0)</f>
        <v/>
      </c>
      <c r="T206">
        <f>2*(O206-G206)*(1-O206)*O206</f>
        <v/>
      </c>
      <c r="U206">
        <f>2*(O206-G206)*(1-O206)*O206*C206</f>
        <v/>
      </c>
      <c r="V206">
        <f>2*(O206-G206)*(1-O206)*O206*D206</f>
        <v/>
      </c>
      <c r="W206">
        <f>2*(O206-G206)*(1-O206)*O206*E206</f>
        <v/>
      </c>
      <c r="X206">
        <f>2*(O206-G206)*(1-O206)*O206*F206</f>
        <v/>
      </c>
    </row>
    <row r="207" ht="14.25" customHeight="1" s="96">
      <c r="B207" s="44" t="n">
        <v>43</v>
      </c>
      <c r="C207" s="78" t="n">
        <v>6.9</v>
      </c>
      <c r="D207" s="46" t="n">
        <v>3.1</v>
      </c>
      <c r="E207" s="46" t="n">
        <v>4.9</v>
      </c>
      <c r="F207" s="46" t="n">
        <v>1.5</v>
      </c>
      <c r="G207" s="45" t="n">
        <v>1</v>
      </c>
      <c r="I207" s="44">
        <f>I206-$K$2*T206</f>
        <v/>
      </c>
      <c r="J207" s="46">
        <f>J206-$K$2*U206</f>
        <v/>
      </c>
      <c r="K207" s="46">
        <f>K206-$K$2*V206</f>
        <v/>
      </c>
      <c r="L207" s="46">
        <f>L206-$K$2*W206</f>
        <v/>
      </c>
      <c r="M207" s="46">
        <f>M206-$K$2*X206</f>
        <v/>
      </c>
      <c r="N207" s="46">
        <f>I207+J207*C207+K207*D207+L207*E207+F207*M207</f>
        <v/>
      </c>
      <c r="O207" s="46">
        <f>1/(1+EXP(-N207))</f>
        <v/>
      </c>
      <c r="P207" s="47">
        <f>IF(O207&gt;0.5,1,0)</f>
        <v/>
      </c>
      <c r="Q207" s="47">
        <f>O207-G207</f>
        <v/>
      </c>
      <c r="R207" s="48">
        <f>Q207^2</f>
        <v/>
      </c>
      <c r="S207">
        <f>IF(P207=G207,1,0)</f>
        <v/>
      </c>
      <c r="T207">
        <f>2*(O207-G207)*(1-O207)*O207</f>
        <v/>
      </c>
      <c r="U207">
        <f>2*(O207-G207)*(1-O207)*O207*C207</f>
        <v/>
      </c>
      <c r="V207">
        <f>2*(O207-G207)*(1-O207)*O207*D207</f>
        <v/>
      </c>
      <c r="W207">
        <f>2*(O207-G207)*(1-O207)*O207*E207</f>
        <v/>
      </c>
      <c r="X207">
        <f>2*(O207-G207)*(1-O207)*O207*F207</f>
        <v/>
      </c>
    </row>
    <row r="208" ht="14.25" customHeight="1" s="96">
      <c r="B208" s="44" t="n">
        <v>44</v>
      </c>
      <c r="C208" s="78" t="n">
        <v>5.5</v>
      </c>
      <c r="D208" s="46" t="n">
        <v>2.3</v>
      </c>
      <c r="E208" s="46" t="n">
        <v>4</v>
      </c>
      <c r="F208" s="46" t="n">
        <v>1.3</v>
      </c>
      <c r="G208" s="45" t="n">
        <v>1</v>
      </c>
      <c r="I208" s="44">
        <f>I207-$K$2*T207</f>
        <v/>
      </c>
      <c r="J208" s="46">
        <f>J207-$K$2*U207</f>
        <v/>
      </c>
      <c r="K208" s="46">
        <f>K207-$K$2*V207</f>
        <v/>
      </c>
      <c r="L208" s="46">
        <f>L207-$K$2*W207</f>
        <v/>
      </c>
      <c r="M208" s="46">
        <f>M207-$K$2*X207</f>
        <v/>
      </c>
      <c r="N208" s="46">
        <f>I208+J208*C208+K208*D208+L208*E208+F208*M208</f>
        <v/>
      </c>
      <c r="O208" s="46">
        <f>1/(1+EXP(-N208))</f>
        <v/>
      </c>
      <c r="P208" s="47">
        <f>IF(O208&gt;0.5,1,0)</f>
        <v/>
      </c>
      <c r="Q208" s="47">
        <f>O208-G208</f>
        <v/>
      </c>
      <c r="R208" s="48">
        <f>Q208^2</f>
        <v/>
      </c>
      <c r="S208">
        <f>IF(P208=G208,1,0)</f>
        <v/>
      </c>
      <c r="T208">
        <f>2*(O208-G208)*(1-O208)*O208</f>
        <v/>
      </c>
      <c r="U208">
        <f>2*(O208-G208)*(1-O208)*O208*C208</f>
        <v/>
      </c>
      <c r="V208">
        <f>2*(O208-G208)*(1-O208)*O208*D208</f>
        <v/>
      </c>
      <c r="W208">
        <f>2*(O208-G208)*(1-O208)*O208*E208</f>
        <v/>
      </c>
      <c r="X208">
        <f>2*(O208-G208)*(1-O208)*O208*F208</f>
        <v/>
      </c>
    </row>
    <row r="209" ht="14.25" customHeight="1" s="96">
      <c r="B209" s="44" t="n">
        <v>45</v>
      </c>
      <c r="C209" s="78" t="n">
        <v>6.5</v>
      </c>
      <c r="D209" s="46" t="n">
        <v>2.8</v>
      </c>
      <c r="E209" s="46" t="n">
        <v>4.6</v>
      </c>
      <c r="F209" s="46" t="n">
        <v>1.5</v>
      </c>
      <c r="G209" s="45" t="n">
        <v>1</v>
      </c>
      <c r="I209" s="44">
        <f>I208-$K$2*T208</f>
        <v/>
      </c>
      <c r="J209" s="46">
        <f>J208-$K$2*U208</f>
        <v/>
      </c>
      <c r="K209" s="46">
        <f>K208-$K$2*V208</f>
        <v/>
      </c>
      <c r="L209" s="46">
        <f>L208-$K$2*W208</f>
        <v/>
      </c>
      <c r="M209" s="46">
        <f>M208-$K$2*X208</f>
        <v/>
      </c>
      <c r="N209" s="46">
        <f>I209+J209*C209+K209*D209+L209*E209+F209*M209</f>
        <v/>
      </c>
      <c r="O209" s="46">
        <f>1/(1+EXP(-N209))</f>
        <v/>
      </c>
      <c r="P209" s="47">
        <f>IF(O209&gt;0.5,1,0)</f>
        <v/>
      </c>
      <c r="Q209" s="47">
        <f>O209-G209</f>
        <v/>
      </c>
      <c r="R209" s="48">
        <f>Q209^2</f>
        <v/>
      </c>
      <c r="S209">
        <f>IF(P209=G209,1,0)</f>
        <v/>
      </c>
      <c r="T209">
        <f>2*(O209-G209)*(1-O209)*O209</f>
        <v/>
      </c>
      <c r="U209">
        <f>2*(O209-G209)*(1-O209)*O209*C209</f>
        <v/>
      </c>
      <c r="V209">
        <f>2*(O209-G209)*(1-O209)*O209*D209</f>
        <v/>
      </c>
      <c r="W209">
        <f>2*(O209-G209)*(1-O209)*O209*E209</f>
        <v/>
      </c>
      <c r="X209">
        <f>2*(O209-G209)*(1-O209)*O209*F209</f>
        <v/>
      </c>
    </row>
    <row r="210" ht="14.25" customHeight="1" s="96">
      <c r="B210" s="44" t="n">
        <v>46</v>
      </c>
      <c r="C210" s="78" t="n">
        <v>5.7</v>
      </c>
      <c r="D210" s="46" t="n">
        <v>2.8</v>
      </c>
      <c r="E210" s="46" t="n">
        <v>4.5</v>
      </c>
      <c r="F210" s="46" t="n">
        <v>1.3</v>
      </c>
      <c r="G210" s="45" t="n">
        <v>1</v>
      </c>
      <c r="I210" s="44">
        <f>I209-$K$2*T209</f>
        <v/>
      </c>
      <c r="J210" s="46">
        <f>J209-$K$2*U209</f>
        <v/>
      </c>
      <c r="K210" s="46">
        <f>K209-$K$2*V209</f>
        <v/>
      </c>
      <c r="L210" s="46">
        <f>L209-$K$2*W209</f>
        <v/>
      </c>
      <c r="M210" s="46">
        <f>M209-$K$2*X209</f>
        <v/>
      </c>
      <c r="N210" s="46">
        <f>I210+J210*C210+K210*D210+L210*E210+F210*M210</f>
        <v/>
      </c>
      <c r="O210" s="46">
        <f>1/(1+EXP(-N210))</f>
        <v/>
      </c>
      <c r="P210" s="47">
        <f>IF(O210&gt;0.5,1,0)</f>
        <v/>
      </c>
      <c r="Q210" s="47">
        <f>O210-G210</f>
        <v/>
      </c>
      <c r="R210" s="48">
        <f>Q210^2</f>
        <v/>
      </c>
      <c r="S210">
        <f>IF(P210=G210,1,0)</f>
        <v/>
      </c>
      <c r="T210">
        <f>2*(O210-G210)*(1-O210)*O210</f>
        <v/>
      </c>
      <c r="U210">
        <f>2*(O210-G210)*(1-O210)*O210*C210</f>
        <v/>
      </c>
      <c r="V210">
        <f>2*(O210-G210)*(1-O210)*O210*D210</f>
        <v/>
      </c>
      <c r="W210">
        <f>2*(O210-G210)*(1-O210)*O210*E210</f>
        <v/>
      </c>
      <c r="X210">
        <f>2*(O210-G210)*(1-O210)*O210*F210</f>
        <v/>
      </c>
    </row>
    <row r="211" ht="14.25" customHeight="1" s="96">
      <c r="B211" s="44" t="n">
        <v>47</v>
      </c>
      <c r="C211" s="78" t="n">
        <v>6.3</v>
      </c>
      <c r="D211" s="46" t="n">
        <v>3.3</v>
      </c>
      <c r="E211" s="46" t="n">
        <v>4.7</v>
      </c>
      <c r="F211" s="46" t="n">
        <v>1.6</v>
      </c>
      <c r="G211" s="45" t="n">
        <v>1</v>
      </c>
      <c r="I211" s="44">
        <f>I210-$K$2*T210</f>
        <v/>
      </c>
      <c r="J211" s="46">
        <f>J210-$K$2*U210</f>
        <v/>
      </c>
      <c r="K211" s="46">
        <f>K210-$K$2*V210</f>
        <v/>
      </c>
      <c r="L211" s="46">
        <f>L210-$K$2*W210</f>
        <v/>
      </c>
      <c r="M211" s="46">
        <f>M210-$K$2*X210</f>
        <v/>
      </c>
      <c r="N211" s="46">
        <f>I211+J211*C211+K211*D211+L211*E211+F211*M211</f>
        <v/>
      </c>
      <c r="O211" s="46">
        <f>1/(1+EXP(-N211))</f>
        <v/>
      </c>
      <c r="P211" s="47">
        <f>IF(O211&gt;0.5,1,0)</f>
        <v/>
      </c>
      <c r="Q211" s="47">
        <f>O211-G211</f>
        <v/>
      </c>
      <c r="R211" s="48">
        <f>Q211^2</f>
        <v/>
      </c>
      <c r="S211">
        <f>IF(P211=G211,1,0)</f>
        <v/>
      </c>
      <c r="T211">
        <f>2*(O211-G211)*(1-O211)*O211</f>
        <v/>
      </c>
      <c r="U211">
        <f>2*(O211-G211)*(1-O211)*O211*C211</f>
        <v/>
      </c>
      <c r="V211">
        <f>2*(O211-G211)*(1-O211)*O211*D211</f>
        <v/>
      </c>
      <c r="W211">
        <f>2*(O211-G211)*(1-O211)*O211*E211</f>
        <v/>
      </c>
      <c r="X211">
        <f>2*(O211-G211)*(1-O211)*O211*F211</f>
        <v/>
      </c>
    </row>
    <row r="212" ht="14.25" customHeight="1" s="96">
      <c r="B212" s="44" t="n">
        <v>48</v>
      </c>
      <c r="C212" s="78" t="n">
        <v>4.9</v>
      </c>
      <c r="D212" s="46" t="n">
        <v>2.4</v>
      </c>
      <c r="E212" s="46" t="n">
        <v>3.3</v>
      </c>
      <c r="F212" s="46" t="n">
        <v>1</v>
      </c>
      <c r="G212" s="45" t="n">
        <v>1</v>
      </c>
      <c r="I212" s="44">
        <f>I211-$K$2*T211</f>
        <v/>
      </c>
      <c r="J212" s="46">
        <f>J211-$K$2*U211</f>
        <v/>
      </c>
      <c r="K212" s="46">
        <f>K211-$K$2*V211</f>
        <v/>
      </c>
      <c r="L212" s="46">
        <f>L211-$K$2*W211</f>
        <v/>
      </c>
      <c r="M212" s="46">
        <f>M211-$K$2*X211</f>
        <v/>
      </c>
      <c r="N212" s="46">
        <f>I212+J212*C212+K212*D212+L212*E212+F212*M212</f>
        <v/>
      </c>
      <c r="O212" s="46">
        <f>1/(1+EXP(-N212))</f>
        <v/>
      </c>
      <c r="P212" s="47">
        <f>IF(O212&gt;0.5,1,0)</f>
        <v/>
      </c>
      <c r="Q212" s="47">
        <f>O212-G212</f>
        <v/>
      </c>
      <c r="R212" s="48">
        <f>Q212^2</f>
        <v/>
      </c>
      <c r="S212">
        <f>IF(P212=G212,1,0)</f>
        <v/>
      </c>
      <c r="T212">
        <f>2*(O212-G212)*(1-O212)*O212</f>
        <v/>
      </c>
      <c r="U212">
        <f>2*(O212-G212)*(1-O212)*O212*C212</f>
        <v/>
      </c>
      <c r="V212">
        <f>2*(O212-G212)*(1-O212)*O212*D212</f>
        <v/>
      </c>
      <c r="W212">
        <f>2*(O212-G212)*(1-O212)*O212*E212</f>
        <v/>
      </c>
      <c r="X212">
        <f>2*(O212-G212)*(1-O212)*O212*F212</f>
        <v/>
      </c>
    </row>
    <row r="213" ht="14.25" customHeight="1" s="96">
      <c r="B213" s="44" t="n">
        <v>49</v>
      </c>
      <c r="C213" s="78" t="n">
        <v>6.6</v>
      </c>
      <c r="D213" s="46" t="n">
        <v>2.9</v>
      </c>
      <c r="E213" s="46" t="n">
        <v>4.6</v>
      </c>
      <c r="F213" s="46" t="n">
        <v>1.3</v>
      </c>
      <c r="G213" s="45" t="n">
        <v>1</v>
      </c>
      <c r="I213" s="44">
        <f>I212-$K$2*T212</f>
        <v/>
      </c>
      <c r="J213" s="46">
        <f>J212-$K$2*U212</f>
        <v/>
      </c>
      <c r="K213" s="46">
        <f>K212-$K$2*V212</f>
        <v/>
      </c>
      <c r="L213" s="46">
        <f>L212-$K$2*W212</f>
        <v/>
      </c>
      <c r="M213" s="46">
        <f>M212-$K$2*X212</f>
        <v/>
      </c>
      <c r="N213" s="46">
        <f>I213+J213*C213+K213*D213+L213*E213+F213*M213</f>
        <v/>
      </c>
      <c r="O213" s="46">
        <f>1/(1+EXP(-N213))</f>
        <v/>
      </c>
      <c r="P213" s="47">
        <f>IF(O213&gt;0.5,1,0)</f>
        <v/>
      </c>
      <c r="Q213" s="47">
        <f>O213-G213</f>
        <v/>
      </c>
      <c r="R213" s="48">
        <f>Q213^2</f>
        <v/>
      </c>
      <c r="S213">
        <f>IF(P213=G213,1,0)</f>
        <v/>
      </c>
      <c r="T213">
        <f>2*(O213-G213)*(1-O213)*O213</f>
        <v/>
      </c>
      <c r="U213">
        <f>2*(O213-G213)*(1-O213)*O213*C213</f>
        <v/>
      </c>
      <c r="V213">
        <f>2*(O213-G213)*(1-O213)*O213*D213</f>
        <v/>
      </c>
      <c r="W213">
        <f>2*(O213-G213)*(1-O213)*O213*E213</f>
        <v/>
      </c>
      <c r="X213">
        <f>2*(O213-G213)*(1-O213)*O213*F213</f>
        <v/>
      </c>
    </row>
    <row r="214" ht="14.25" customHeight="1" s="96">
      <c r="B214" s="44" t="n">
        <v>50</v>
      </c>
      <c r="C214" s="78" t="n">
        <v>5.2</v>
      </c>
      <c r="D214" s="46" t="n">
        <v>2.7</v>
      </c>
      <c r="E214" s="46" t="n">
        <v>3.9</v>
      </c>
      <c r="F214" s="46" t="n">
        <v>1.4</v>
      </c>
      <c r="G214" s="45" t="n">
        <v>1</v>
      </c>
      <c r="I214" s="44">
        <f>I213-$K$2*T213</f>
        <v/>
      </c>
      <c r="J214" s="46">
        <f>J213-$K$2*U213</f>
        <v/>
      </c>
      <c r="K214" s="46">
        <f>K213-$K$2*V213</f>
        <v/>
      </c>
      <c r="L214" s="46">
        <f>L213-$K$2*W213</f>
        <v/>
      </c>
      <c r="M214" s="46">
        <f>M213-$K$2*X213</f>
        <v/>
      </c>
      <c r="N214" s="46">
        <f>I214+J214*C214+K214*D214+L214*E214+F214*M214</f>
        <v/>
      </c>
      <c r="O214" s="46">
        <f>1/(1+EXP(-N214))</f>
        <v/>
      </c>
      <c r="P214" s="47">
        <f>IF(O214&gt;0.5,1,0)</f>
        <v/>
      </c>
      <c r="Q214" s="47">
        <f>O214-G214</f>
        <v/>
      </c>
      <c r="R214" s="48">
        <f>Q214^2</f>
        <v/>
      </c>
      <c r="S214">
        <f>IF(P214=G214,1,0)</f>
        <v/>
      </c>
      <c r="T214">
        <f>2*(O214-G214)*(1-O214)*O214</f>
        <v/>
      </c>
      <c r="U214">
        <f>2*(O214-G214)*(1-O214)*O214*C214</f>
        <v/>
      </c>
      <c r="V214">
        <f>2*(O214-G214)*(1-O214)*O214*D214</f>
        <v/>
      </c>
      <c r="W214">
        <f>2*(O214-G214)*(1-O214)*O214*E214</f>
        <v/>
      </c>
      <c r="X214">
        <f>2*(O214-G214)*(1-O214)*O214*F214</f>
        <v/>
      </c>
    </row>
    <row r="215" ht="14.25" customHeight="1" s="96">
      <c r="B215" s="44" t="n">
        <v>51</v>
      </c>
      <c r="C215" s="78" t="n">
        <v>5</v>
      </c>
      <c r="D215" s="46" t="n">
        <v>2</v>
      </c>
      <c r="E215" s="46" t="n">
        <v>3.5</v>
      </c>
      <c r="F215" s="46" t="n">
        <v>1</v>
      </c>
      <c r="G215" s="45" t="n">
        <v>1</v>
      </c>
      <c r="I215" s="44">
        <f>I214-$K$2*T214</f>
        <v/>
      </c>
      <c r="J215" s="46">
        <f>J214-$K$2*U214</f>
        <v/>
      </c>
      <c r="K215" s="46">
        <f>K214-$K$2*V214</f>
        <v/>
      </c>
      <c r="L215" s="46">
        <f>L214-$K$2*W214</f>
        <v/>
      </c>
      <c r="M215" s="46">
        <f>M214-$K$2*X214</f>
        <v/>
      </c>
      <c r="N215" s="46">
        <f>I215+J215*C215+K215*D215+L215*E215+F215*M215</f>
        <v/>
      </c>
      <c r="O215" s="46">
        <f>1/(1+EXP(-N215))</f>
        <v/>
      </c>
      <c r="P215" s="47">
        <f>IF(O215&gt;0.5,1,0)</f>
        <v/>
      </c>
      <c r="Q215" s="47">
        <f>O215-G215</f>
        <v/>
      </c>
      <c r="R215" s="48">
        <f>Q215^2</f>
        <v/>
      </c>
      <c r="S215">
        <f>IF(P215=G215,1,0)</f>
        <v/>
      </c>
      <c r="T215">
        <f>2*(O215-G215)*(1-O215)*O215</f>
        <v/>
      </c>
      <c r="U215">
        <f>2*(O215-G215)*(1-O215)*O215*C215</f>
        <v/>
      </c>
      <c r="V215">
        <f>2*(O215-G215)*(1-O215)*O215*D215</f>
        <v/>
      </c>
      <c r="W215">
        <f>2*(O215-G215)*(1-O215)*O215*E215</f>
        <v/>
      </c>
      <c r="X215">
        <f>2*(O215-G215)*(1-O215)*O215*F215</f>
        <v/>
      </c>
    </row>
    <row r="216" ht="14.25" customHeight="1" s="96">
      <c r="B216" s="44" t="n">
        <v>52</v>
      </c>
      <c r="C216" s="78" t="n">
        <v>5.9</v>
      </c>
      <c r="D216" s="46" t="n">
        <v>3</v>
      </c>
      <c r="E216" s="46" t="n">
        <v>4.2</v>
      </c>
      <c r="F216" s="46" t="n">
        <v>1.5</v>
      </c>
      <c r="G216" s="45" t="n">
        <v>1</v>
      </c>
      <c r="I216" s="44">
        <f>I215-$K$2*T215</f>
        <v/>
      </c>
      <c r="J216" s="46">
        <f>J215-$K$2*U215</f>
        <v/>
      </c>
      <c r="K216" s="46">
        <f>K215-$K$2*V215</f>
        <v/>
      </c>
      <c r="L216" s="46">
        <f>L215-$K$2*W215</f>
        <v/>
      </c>
      <c r="M216" s="46">
        <f>M215-$K$2*X215</f>
        <v/>
      </c>
      <c r="N216" s="46">
        <f>I216+J216*C216+K216*D216+L216*E216+F216*M216</f>
        <v/>
      </c>
      <c r="O216" s="46">
        <f>1/(1+EXP(-N216))</f>
        <v/>
      </c>
      <c r="P216" s="47">
        <f>IF(O216&gt;0.5,1,0)</f>
        <v/>
      </c>
      <c r="Q216" s="47">
        <f>O216-G216</f>
        <v/>
      </c>
      <c r="R216" s="48">
        <f>Q216^2</f>
        <v/>
      </c>
      <c r="S216">
        <f>IF(P216=G216,1,0)</f>
        <v/>
      </c>
      <c r="T216">
        <f>2*(O216-G216)*(1-O216)*O216</f>
        <v/>
      </c>
      <c r="U216">
        <f>2*(O216-G216)*(1-O216)*O216*C216</f>
        <v/>
      </c>
      <c r="V216">
        <f>2*(O216-G216)*(1-O216)*O216*D216</f>
        <v/>
      </c>
      <c r="W216">
        <f>2*(O216-G216)*(1-O216)*O216*E216</f>
        <v/>
      </c>
      <c r="X216">
        <f>2*(O216-G216)*(1-O216)*O216*F216</f>
        <v/>
      </c>
    </row>
    <row r="217" ht="14.25" customHeight="1" s="96">
      <c r="B217" s="44" t="n">
        <v>53</v>
      </c>
      <c r="C217" s="78" t="n">
        <v>6</v>
      </c>
      <c r="D217" s="46" t="n">
        <v>2.2</v>
      </c>
      <c r="E217" s="46" t="n">
        <v>4</v>
      </c>
      <c r="F217" s="46" t="n">
        <v>1</v>
      </c>
      <c r="G217" s="45" t="n">
        <v>1</v>
      </c>
      <c r="I217" s="44">
        <f>I216-$K$2*T216</f>
        <v/>
      </c>
      <c r="J217" s="46">
        <f>J216-$K$2*U216</f>
        <v/>
      </c>
      <c r="K217" s="46">
        <f>K216-$K$2*V216</f>
        <v/>
      </c>
      <c r="L217" s="46">
        <f>L216-$K$2*W216</f>
        <v/>
      </c>
      <c r="M217" s="46">
        <f>M216-$K$2*X216</f>
        <v/>
      </c>
      <c r="N217" s="46">
        <f>I217+J217*C217+K217*D217+L217*E217+F217*M217</f>
        <v/>
      </c>
      <c r="O217" s="46">
        <f>1/(1+EXP(-N217))</f>
        <v/>
      </c>
      <c r="P217" s="47">
        <f>IF(O217&gt;0.5,1,0)</f>
        <v/>
      </c>
      <c r="Q217" s="47">
        <f>O217-G217</f>
        <v/>
      </c>
      <c r="R217" s="48">
        <f>Q217^2</f>
        <v/>
      </c>
      <c r="S217">
        <f>IF(P217=G217,1,0)</f>
        <v/>
      </c>
      <c r="T217">
        <f>2*(O217-G217)*(1-O217)*O217</f>
        <v/>
      </c>
      <c r="U217">
        <f>2*(O217-G217)*(1-O217)*O217*C217</f>
        <v/>
      </c>
      <c r="V217">
        <f>2*(O217-G217)*(1-O217)*O217*D217</f>
        <v/>
      </c>
      <c r="W217">
        <f>2*(O217-G217)*(1-O217)*O217*E217</f>
        <v/>
      </c>
      <c r="X217">
        <f>2*(O217-G217)*(1-O217)*O217*F217</f>
        <v/>
      </c>
    </row>
    <row r="218" ht="14.25" customHeight="1" s="96">
      <c r="B218" s="44" t="n">
        <v>54</v>
      </c>
      <c r="C218" s="78" t="n">
        <v>6.1</v>
      </c>
      <c r="D218" s="46" t="n">
        <v>2.9</v>
      </c>
      <c r="E218" s="46" t="n">
        <v>4.7</v>
      </c>
      <c r="F218" s="46" t="n">
        <v>1.4</v>
      </c>
      <c r="G218" s="45" t="n">
        <v>1</v>
      </c>
      <c r="I218" s="44">
        <f>I217-$K$2*T217</f>
        <v/>
      </c>
      <c r="J218" s="46">
        <f>J217-$K$2*U217</f>
        <v/>
      </c>
      <c r="K218" s="46">
        <f>K217-$K$2*V217</f>
        <v/>
      </c>
      <c r="L218" s="46">
        <f>L217-$K$2*W217</f>
        <v/>
      </c>
      <c r="M218" s="46">
        <f>M217-$K$2*X217</f>
        <v/>
      </c>
      <c r="N218" s="46">
        <f>I218+J218*C218+K218*D218+L218*E218+F218*M218</f>
        <v/>
      </c>
      <c r="O218" s="46">
        <f>1/(1+EXP(-N218))</f>
        <v/>
      </c>
      <c r="P218" s="47">
        <f>IF(O218&gt;0.5,1,0)</f>
        <v/>
      </c>
      <c r="Q218" s="47">
        <f>O218-G218</f>
        <v/>
      </c>
      <c r="R218" s="48">
        <f>Q218^2</f>
        <v/>
      </c>
      <c r="S218">
        <f>IF(P218=G218,1,0)</f>
        <v/>
      </c>
      <c r="T218">
        <f>2*(O218-G218)*(1-O218)*O218</f>
        <v/>
      </c>
      <c r="U218">
        <f>2*(O218-G218)*(1-O218)*O218*C218</f>
        <v/>
      </c>
      <c r="V218">
        <f>2*(O218-G218)*(1-O218)*O218*D218</f>
        <v/>
      </c>
      <c r="W218">
        <f>2*(O218-G218)*(1-O218)*O218*E218</f>
        <v/>
      </c>
      <c r="X218">
        <f>2*(O218-G218)*(1-O218)*O218*F218</f>
        <v/>
      </c>
    </row>
    <row r="219" ht="14.25" customHeight="1" s="96">
      <c r="B219" s="44" t="n">
        <v>55</v>
      </c>
      <c r="C219" s="78" t="n">
        <v>5.6</v>
      </c>
      <c r="D219" s="46" t="n">
        <v>2.9</v>
      </c>
      <c r="E219" s="46" t="n">
        <v>3.6</v>
      </c>
      <c r="F219" s="46" t="n">
        <v>1.3</v>
      </c>
      <c r="G219" s="45" t="n">
        <v>1</v>
      </c>
      <c r="I219" s="44">
        <f>I218-$K$2*T218</f>
        <v/>
      </c>
      <c r="J219" s="46">
        <f>J218-$K$2*U218</f>
        <v/>
      </c>
      <c r="K219" s="46">
        <f>K218-$K$2*V218</f>
        <v/>
      </c>
      <c r="L219" s="46">
        <f>L218-$K$2*W218</f>
        <v/>
      </c>
      <c r="M219" s="46">
        <f>M218-$K$2*X218</f>
        <v/>
      </c>
      <c r="N219" s="46">
        <f>I219+J219*C219+K219*D219+L219*E219+F219*M219</f>
        <v/>
      </c>
      <c r="O219" s="46">
        <f>1/(1+EXP(-N219))</f>
        <v/>
      </c>
      <c r="P219" s="47">
        <f>IF(O219&gt;0.5,1,0)</f>
        <v/>
      </c>
      <c r="Q219" s="47">
        <f>O219-G219</f>
        <v/>
      </c>
      <c r="R219" s="48">
        <f>Q219^2</f>
        <v/>
      </c>
      <c r="S219">
        <f>IF(P219=G219,1,0)</f>
        <v/>
      </c>
      <c r="T219">
        <f>2*(O219-G219)*(1-O219)*O219</f>
        <v/>
      </c>
      <c r="U219">
        <f>2*(O219-G219)*(1-O219)*O219*C219</f>
        <v/>
      </c>
      <c r="V219">
        <f>2*(O219-G219)*(1-O219)*O219*D219</f>
        <v/>
      </c>
      <c r="W219">
        <f>2*(O219-G219)*(1-O219)*O219*E219</f>
        <v/>
      </c>
      <c r="X219">
        <f>2*(O219-G219)*(1-O219)*O219*F219</f>
        <v/>
      </c>
    </row>
    <row r="220" ht="14.25" customHeight="1" s="96">
      <c r="B220" s="44" t="n">
        <v>56</v>
      </c>
      <c r="C220" s="78" t="n">
        <v>6.7</v>
      </c>
      <c r="D220" s="46" t="n">
        <v>3.1</v>
      </c>
      <c r="E220" s="46" t="n">
        <v>4.4</v>
      </c>
      <c r="F220" s="46" t="n">
        <v>1.4</v>
      </c>
      <c r="G220" s="45" t="n">
        <v>1</v>
      </c>
      <c r="I220" s="44">
        <f>I219-$K$2*T219</f>
        <v/>
      </c>
      <c r="J220" s="46">
        <f>J219-$K$2*U219</f>
        <v/>
      </c>
      <c r="K220" s="46">
        <f>K219-$K$2*V219</f>
        <v/>
      </c>
      <c r="L220" s="46">
        <f>L219-$K$2*W219</f>
        <v/>
      </c>
      <c r="M220" s="46">
        <f>M219-$K$2*X219</f>
        <v/>
      </c>
      <c r="N220" s="46">
        <f>I220+J220*C220+K220*D220+L220*E220+F220*M220</f>
        <v/>
      </c>
      <c r="O220" s="46">
        <f>1/(1+EXP(-N220))</f>
        <v/>
      </c>
      <c r="P220" s="47">
        <f>IF(O220&gt;0.5,1,0)</f>
        <v/>
      </c>
      <c r="Q220" s="47">
        <f>O220-G220</f>
        <v/>
      </c>
      <c r="R220" s="48">
        <f>Q220^2</f>
        <v/>
      </c>
      <c r="S220">
        <f>IF(P220=G220,1,0)</f>
        <v/>
      </c>
      <c r="T220">
        <f>2*(O220-G220)*(1-O220)*O220</f>
        <v/>
      </c>
      <c r="U220">
        <f>2*(O220-G220)*(1-O220)*O220*C220</f>
        <v/>
      </c>
      <c r="V220">
        <f>2*(O220-G220)*(1-O220)*O220*D220</f>
        <v/>
      </c>
      <c r="W220">
        <f>2*(O220-G220)*(1-O220)*O220*E220</f>
        <v/>
      </c>
      <c r="X220">
        <f>2*(O220-G220)*(1-O220)*O220*F220</f>
        <v/>
      </c>
    </row>
    <row r="221" ht="14.25" customHeight="1" s="96">
      <c r="B221" s="44" t="n">
        <v>57</v>
      </c>
      <c r="C221" s="78" t="n">
        <v>5.6</v>
      </c>
      <c r="D221" s="46" t="n">
        <v>3</v>
      </c>
      <c r="E221" s="46" t="n">
        <v>4.5</v>
      </c>
      <c r="F221" s="46" t="n">
        <v>1.5</v>
      </c>
      <c r="G221" s="45" t="n">
        <v>1</v>
      </c>
      <c r="I221" s="44">
        <f>I220-$K$2*T220</f>
        <v/>
      </c>
      <c r="J221" s="46">
        <f>J220-$K$2*U220</f>
        <v/>
      </c>
      <c r="K221" s="46">
        <f>K220-$K$2*V220</f>
        <v/>
      </c>
      <c r="L221" s="46">
        <f>L220-$K$2*W220</f>
        <v/>
      </c>
      <c r="M221" s="46">
        <f>M220-$K$2*X220</f>
        <v/>
      </c>
      <c r="N221" s="46">
        <f>I221+J221*C221+K221*D221+L221*E221+F221*M221</f>
        <v/>
      </c>
      <c r="O221" s="46">
        <f>1/(1+EXP(-N221))</f>
        <v/>
      </c>
      <c r="P221" s="47">
        <f>IF(O221&gt;0.5,1,0)</f>
        <v/>
      </c>
      <c r="Q221" s="47">
        <f>O221-G221</f>
        <v/>
      </c>
      <c r="R221" s="48">
        <f>Q221^2</f>
        <v/>
      </c>
      <c r="S221">
        <f>IF(P221=G221,1,0)</f>
        <v/>
      </c>
      <c r="T221">
        <f>2*(O221-G221)*(1-O221)*O221</f>
        <v/>
      </c>
      <c r="U221">
        <f>2*(O221-G221)*(1-O221)*O221*C221</f>
        <v/>
      </c>
      <c r="V221">
        <f>2*(O221-G221)*(1-O221)*O221*D221</f>
        <v/>
      </c>
      <c r="W221">
        <f>2*(O221-G221)*(1-O221)*O221*E221</f>
        <v/>
      </c>
      <c r="X221">
        <f>2*(O221-G221)*(1-O221)*O221*F221</f>
        <v/>
      </c>
    </row>
    <row r="222" ht="14.25" customHeight="1" s="96">
      <c r="B222" s="44" t="n">
        <v>58</v>
      </c>
      <c r="C222" s="78" t="n">
        <v>5.8</v>
      </c>
      <c r="D222" s="46" t="n">
        <v>2.7</v>
      </c>
      <c r="E222" s="46" t="n">
        <v>4.1</v>
      </c>
      <c r="F222" s="46" t="n">
        <v>1</v>
      </c>
      <c r="G222" s="45" t="n">
        <v>1</v>
      </c>
      <c r="I222" s="44">
        <f>I221-$K$2*T221</f>
        <v/>
      </c>
      <c r="J222" s="46">
        <f>J221-$K$2*U221</f>
        <v/>
      </c>
      <c r="K222" s="46">
        <f>K221-$K$2*V221</f>
        <v/>
      </c>
      <c r="L222" s="46">
        <f>L221-$K$2*W221</f>
        <v/>
      </c>
      <c r="M222" s="46">
        <f>M221-$K$2*X221</f>
        <v/>
      </c>
      <c r="N222" s="46">
        <f>I222+J222*C222+K222*D222+L222*E222+F222*M222</f>
        <v/>
      </c>
      <c r="O222" s="46">
        <f>1/(1+EXP(-N222))</f>
        <v/>
      </c>
      <c r="P222" s="47">
        <f>IF(O222&gt;0.5,1,0)</f>
        <v/>
      </c>
      <c r="Q222" s="47">
        <f>O222-G222</f>
        <v/>
      </c>
      <c r="R222" s="48">
        <f>Q222^2</f>
        <v/>
      </c>
      <c r="S222">
        <f>IF(P222=G222,1,0)</f>
        <v/>
      </c>
      <c r="T222">
        <f>2*(O222-G222)*(1-O222)*O222</f>
        <v/>
      </c>
      <c r="U222">
        <f>2*(O222-G222)*(1-O222)*O222*C222</f>
        <v/>
      </c>
      <c r="V222">
        <f>2*(O222-G222)*(1-O222)*O222*D222</f>
        <v/>
      </c>
      <c r="W222">
        <f>2*(O222-G222)*(1-O222)*O222*E222</f>
        <v/>
      </c>
      <c r="X222">
        <f>2*(O222-G222)*(1-O222)*O222*F222</f>
        <v/>
      </c>
    </row>
    <row r="223" ht="14.25" customHeight="1" s="96">
      <c r="B223" s="44" t="n">
        <v>59</v>
      </c>
      <c r="C223" s="78" t="n">
        <v>6.2</v>
      </c>
      <c r="D223" s="46" t="n">
        <v>2.2</v>
      </c>
      <c r="E223" s="46" t="n">
        <v>4.5</v>
      </c>
      <c r="F223" s="46" t="n">
        <v>1.5</v>
      </c>
      <c r="G223" s="45" t="n">
        <v>1</v>
      </c>
      <c r="I223" s="44">
        <f>I222-$K$2*T222</f>
        <v/>
      </c>
      <c r="J223" s="46">
        <f>J222-$K$2*U222</f>
        <v/>
      </c>
      <c r="K223" s="46">
        <f>K222-$K$2*V222</f>
        <v/>
      </c>
      <c r="L223" s="46">
        <f>L222-$K$2*W222</f>
        <v/>
      </c>
      <c r="M223" s="46">
        <f>M222-$K$2*X222</f>
        <v/>
      </c>
      <c r="N223" s="46">
        <f>I223+J223*C223+K223*D223+L223*E223+F223*M223</f>
        <v/>
      </c>
      <c r="O223" s="46">
        <f>1/(1+EXP(-N223))</f>
        <v/>
      </c>
      <c r="P223" s="47">
        <f>IF(O223&gt;0.5,1,0)</f>
        <v/>
      </c>
      <c r="Q223" s="47">
        <f>O223-G223</f>
        <v/>
      </c>
      <c r="R223" s="48">
        <f>Q223^2</f>
        <v/>
      </c>
      <c r="S223">
        <f>IF(P223=G223,1,0)</f>
        <v/>
      </c>
      <c r="T223">
        <f>2*(O223-G223)*(1-O223)*O223</f>
        <v/>
      </c>
      <c r="U223">
        <f>2*(O223-G223)*(1-O223)*O223*C223</f>
        <v/>
      </c>
      <c r="V223">
        <f>2*(O223-G223)*(1-O223)*O223*D223</f>
        <v/>
      </c>
      <c r="W223">
        <f>2*(O223-G223)*(1-O223)*O223*E223</f>
        <v/>
      </c>
      <c r="X223">
        <f>2*(O223-G223)*(1-O223)*O223*F223</f>
        <v/>
      </c>
    </row>
    <row r="224" ht="14.25" customHeight="1" s="96">
      <c r="B224" s="44" t="n">
        <v>60</v>
      </c>
      <c r="C224" s="78" t="n">
        <v>5.6</v>
      </c>
      <c r="D224" s="46" t="n">
        <v>2.5</v>
      </c>
      <c r="E224" s="46" t="n">
        <v>3.9</v>
      </c>
      <c r="F224" s="46" t="n">
        <v>1.1</v>
      </c>
      <c r="G224" s="45" t="n">
        <v>1</v>
      </c>
      <c r="I224" s="44">
        <f>I223-$K$2*T223</f>
        <v/>
      </c>
      <c r="J224" s="46">
        <f>J223-$K$2*U223</f>
        <v/>
      </c>
      <c r="K224" s="46">
        <f>K223-$K$2*V223</f>
        <v/>
      </c>
      <c r="L224" s="46">
        <f>L223-$K$2*W223</f>
        <v/>
      </c>
      <c r="M224" s="46">
        <f>M223-$K$2*X223</f>
        <v/>
      </c>
      <c r="N224" s="46">
        <f>I224+J224*C224+K224*D224+L224*E224+F224*M224</f>
        <v/>
      </c>
      <c r="O224" s="46">
        <f>1/(1+EXP(-N224))</f>
        <v/>
      </c>
      <c r="P224" s="47">
        <f>IF(O224&gt;0.5,1,0)</f>
        <v/>
      </c>
      <c r="Q224" s="47">
        <f>O224-G224</f>
        <v/>
      </c>
      <c r="R224" s="48">
        <f>Q224^2</f>
        <v/>
      </c>
      <c r="S224">
        <f>IF(P224=G224,1,0)</f>
        <v/>
      </c>
      <c r="T224">
        <f>2*(O224-G224)*(1-O224)*O224</f>
        <v/>
      </c>
      <c r="U224">
        <f>2*(O224-G224)*(1-O224)*O224*C224</f>
        <v/>
      </c>
      <c r="V224">
        <f>2*(O224-G224)*(1-O224)*O224*D224</f>
        <v/>
      </c>
      <c r="W224">
        <f>2*(O224-G224)*(1-O224)*O224*E224</f>
        <v/>
      </c>
      <c r="X224">
        <f>2*(O224-G224)*(1-O224)*O224*F224</f>
        <v/>
      </c>
    </row>
    <row r="225" ht="14.25" customHeight="1" s="96">
      <c r="B225" s="44" t="n">
        <v>61</v>
      </c>
      <c r="C225" s="78" t="n">
        <v>5.9</v>
      </c>
      <c r="D225" s="46" t="n">
        <v>3.2</v>
      </c>
      <c r="E225" s="46" t="n">
        <v>4.8</v>
      </c>
      <c r="F225" s="46" t="n">
        <v>1.8</v>
      </c>
      <c r="G225" s="45" t="n">
        <v>1</v>
      </c>
      <c r="I225" s="44">
        <f>I224-$K$2*T224</f>
        <v/>
      </c>
      <c r="J225" s="46">
        <f>J224-$K$2*U224</f>
        <v/>
      </c>
      <c r="K225" s="46">
        <f>K224-$K$2*V224</f>
        <v/>
      </c>
      <c r="L225" s="46">
        <f>L224-$K$2*W224</f>
        <v/>
      </c>
      <c r="M225" s="46">
        <f>M224-$K$2*X224</f>
        <v/>
      </c>
      <c r="N225" s="46">
        <f>I225+J225*C225+K225*D225+L225*E225+F225*M225</f>
        <v/>
      </c>
      <c r="O225" s="46">
        <f>1/(1+EXP(-N225))</f>
        <v/>
      </c>
      <c r="P225" s="47">
        <f>IF(O225&gt;0.5,1,0)</f>
        <v/>
      </c>
      <c r="Q225" s="47">
        <f>O225-G225</f>
        <v/>
      </c>
      <c r="R225" s="48">
        <f>Q225^2</f>
        <v/>
      </c>
      <c r="S225">
        <f>IF(P225=G225,1,0)</f>
        <v/>
      </c>
      <c r="T225">
        <f>2*(O225-G225)*(1-O225)*O225</f>
        <v/>
      </c>
      <c r="U225">
        <f>2*(O225-G225)*(1-O225)*O225*C225</f>
        <v/>
      </c>
      <c r="V225">
        <f>2*(O225-G225)*(1-O225)*O225*D225</f>
        <v/>
      </c>
      <c r="W225">
        <f>2*(O225-G225)*(1-O225)*O225*E225</f>
        <v/>
      </c>
      <c r="X225">
        <f>2*(O225-G225)*(1-O225)*O225*F225</f>
        <v/>
      </c>
    </row>
    <row r="226" ht="14.25" customHeight="1" s="96">
      <c r="B226" s="44" t="n">
        <v>62</v>
      </c>
      <c r="C226" s="78" t="n">
        <v>6.1</v>
      </c>
      <c r="D226" s="46" t="n">
        <v>2.8</v>
      </c>
      <c r="E226" s="46" t="n">
        <v>4</v>
      </c>
      <c r="F226" s="46" t="n">
        <v>1.3</v>
      </c>
      <c r="G226" s="45" t="n">
        <v>1</v>
      </c>
      <c r="I226" s="44">
        <f>I225-$K$2*T225</f>
        <v/>
      </c>
      <c r="J226" s="46">
        <f>J225-$K$2*U225</f>
        <v/>
      </c>
      <c r="K226" s="46">
        <f>K225-$K$2*V225</f>
        <v/>
      </c>
      <c r="L226" s="46">
        <f>L225-$K$2*W225</f>
        <v/>
      </c>
      <c r="M226" s="46">
        <f>M225-$K$2*X225</f>
        <v/>
      </c>
      <c r="N226" s="46">
        <f>I226+J226*C226+K226*D226+L226*E226+F226*M226</f>
        <v/>
      </c>
      <c r="O226" s="46">
        <f>1/(1+EXP(-N226))</f>
        <v/>
      </c>
      <c r="P226" s="47">
        <f>IF(O226&gt;0.5,1,0)</f>
        <v/>
      </c>
      <c r="Q226" s="47">
        <f>O226-G226</f>
        <v/>
      </c>
      <c r="R226" s="48">
        <f>Q226^2</f>
        <v/>
      </c>
      <c r="S226">
        <f>IF(P226=G226,1,0)</f>
        <v/>
      </c>
      <c r="T226">
        <f>2*(O226-G226)*(1-O226)*O226</f>
        <v/>
      </c>
      <c r="U226">
        <f>2*(O226-G226)*(1-O226)*O226*C226</f>
        <v/>
      </c>
      <c r="V226">
        <f>2*(O226-G226)*(1-O226)*O226*D226</f>
        <v/>
      </c>
      <c r="W226">
        <f>2*(O226-G226)*(1-O226)*O226*E226</f>
        <v/>
      </c>
      <c r="X226">
        <f>2*(O226-G226)*(1-O226)*O226*F226</f>
        <v/>
      </c>
    </row>
    <row r="227" ht="14.25" customHeight="1" s="96">
      <c r="B227" s="44" t="n">
        <v>63</v>
      </c>
      <c r="C227" s="78" t="n">
        <v>6.3</v>
      </c>
      <c r="D227" s="46" t="n">
        <v>2.5</v>
      </c>
      <c r="E227" s="46" t="n">
        <v>4.9</v>
      </c>
      <c r="F227" s="46" t="n">
        <v>1.5</v>
      </c>
      <c r="G227" s="45" t="n">
        <v>1</v>
      </c>
      <c r="I227" s="44">
        <f>I226-$K$2*T226</f>
        <v/>
      </c>
      <c r="J227" s="46">
        <f>J226-$K$2*U226</f>
        <v/>
      </c>
      <c r="K227" s="46">
        <f>K226-$K$2*V226</f>
        <v/>
      </c>
      <c r="L227" s="46">
        <f>L226-$K$2*W226</f>
        <v/>
      </c>
      <c r="M227" s="46">
        <f>M226-$K$2*X226</f>
        <v/>
      </c>
      <c r="N227" s="46">
        <f>I227+J227*C227+K227*D227+L227*E227+F227*M227</f>
        <v/>
      </c>
      <c r="O227" s="46">
        <f>1/(1+EXP(-N227))</f>
        <v/>
      </c>
      <c r="P227" s="47">
        <f>IF(O227&gt;0.5,1,0)</f>
        <v/>
      </c>
      <c r="Q227" s="47">
        <f>O227-G227</f>
        <v/>
      </c>
      <c r="R227" s="48">
        <f>Q227^2</f>
        <v/>
      </c>
      <c r="S227">
        <f>IF(P227=G227,1,0)</f>
        <v/>
      </c>
      <c r="T227">
        <f>2*(O227-G227)*(1-O227)*O227</f>
        <v/>
      </c>
      <c r="U227">
        <f>2*(O227-G227)*(1-O227)*O227*C227</f>
        <v/>
      </c>
      <c r="V227">
        <f>2*(O227-G227)*(1-O227)*O227*D227</f>
        <v/>
      </c>
      <c r="W227">
        <f>2*(O227-G227)*(1-O227)*O227*E227</f>
        <v/>
      </c>
      <c r="X227">
        <f>2*(O227-G227)*(1-O227)*O227*F227</f>
        <v/>
      </c>
    </row>
    <row r="228" ht="14.25" customHeight="1" s="96">
      <c r="B228" s="44" t="n">
        <v>64</v>
      </c>
      <c r="C228" s="78" t="n">
        <v>6.1</v>
      </c>
      <c r="D228" s="46" t="n">
        <v>2.8</v>
      </c>
      <c r="E228" s="46" t="n">
        <v>4.7</v>
      </c>
      <c r="F228" s="46" t="n">
        <v>1.2</v>
      </c>
      <c r="G228" s="45" t="n">
        <v>1</v>
      </c>
      <c r="I228" s="44">
        <f>I227-$K$2*T227</f>
        <v/>
      </c>
      <c r="J228" s="46">
        <f>J227-$K$2*U227</f>
        <v/>
      </c>
      <c r="K228" s="46">
        <f>K227-$K$2*V227</f>
        <v/>
      </c>
      <c r="L228" s="46">
        <f>L227-$K$2*W227</f>
        <v/>
      </c>
      <c r="M228" s="46">
        <f>M227-$K$2*X227</f>
        <v/>
      </c>
      <c r="N228" s="46">
        <f>I228+J228*C228+K228*D228+L228*E228+F228*M228</f>
        <v/>
      </c>
      <c r="O228" s="46">
        <f>1/(1+EXP(-N228))</f>
        <v/>
      </c>
      <c r="P228" s="47">
        <f>IF(O228&gt;0.5,1,0)</f>
        <v/>
      </c>
      <c r="Q228" s="47">
        <f>O228-G228</f>
        <v/>
      </c>
      <c r="R228" s="48">
        <f>Q228^2</f>
        <v/>
      </c>
      <c r="S228">
        <f>IF(P228=G228,1,0)</f>
        <v/>
      </c>
      <c r="T228">
        <f>2*(O228-G228)*(1-O228)*O228</f>
        <v/>
      </c>
      <c r="U228">
        <f>2*(O228-G228)*(1-O228)*O228*C228</f>
        <v/>
      </c>
      <c r="V228">
        <f>2*(O228-G228)*(1-O228)*O228*D228</f>
        <v/>
      </c>
      <c r="W228">
        <f>2*(O228-G228)*(1-O228)*O228*E228</f>
        <v/>
      </c>
      <c r="X228">
        <f>2*(O228-G228)*(1-O228)*O228*F228</f>
        <v/>
      </c>
    </row>
    <row r="229" ht="14.25" customHeight="1" s="96">
      <c r="B229" s="44" t="n">
        <v>65</v>
      </c>
      <c r="C229" s="78" t="n">
        <v>6.4</v>
      </c>
      <c r="D229" s="46" t="n">
        <v>2.9</v>
      </c>
      <c r="E229" s="46" t="n">
        <v>4.3</v>
      </c>
      <c r="F229" s="46" t="n">
        <v>1.3</v>
      </c>
      <c r="G229" s="45" t="n">
        <v>1</v>
      </c>
      <c r="I229" s="44">
        <f>I228-$K$2*T228</f>
        <v/>
      </c>
      <c r="J229" s="46">
        <f>J228-$K$2*U228</f>
        <v/>
      </c>
      <c r="K229" s="46">
        <f>K228-$K$2*V228</f>
        <v/>
      </c>
      <c r="L229" s="46">
        <f>L228-$K$2*W228</f>
        <v/>
      </c>
      <c r="M229" s="46">
        <f>M228-$K$2*X228</f>
        <v/>
      </c>
      <c r="N229" s="46">
        <f>I229+J229*C229+K229*D229+L229*E229+F229*M229</f>
        <v/>
      </c>
      <c r="O229" s="46">
        <f>1/(1+EXP(-N229))</f>
        <v/>
      </c>
      <c r="P229" s="47">
        <f>IF(O229&gt;0.5,1,0)</f>
        <v/>
      </c>
      <c r="Q229" s="47">
        <f>O229-G229</f>
        <v/>
      </c>
      <c r="R229" s="48">
        <f>Q229^2</f>
        <v/>
      </c>
      <c r="S229">
        <f>IF(P229=G229,1,0)</f>
        <v/>
      </c>
      <c r="T229">
        <f>2*(O229-G229)*(1-O229)*O229</f>
        <v/>
      </c>
      <c r="U229">
        <f>2*(O229-G229)*(1-O229)*O229*C229</f>
        <v/>
      </c>
      <c r="V229">
        <f>2*(O229-G229)*(1-O229)*O229*D229</f>
        <v/>
      </c>
      <c r="W229">
        <f>2*(O229-G229)*(1-O229)*O229*E229</f>
        <v/>
      </c>
      <c r="X229">
        <f>2*(O229-G229)*(1-O229)*O229*F229</f>
        <v/>
      </c>
    </row>
    <row r="230" ht="14.25" customHeight="1" s="96">
      <c r="B230" s="44" t="n">
        <v>66</v>
      </c>
      <c r="C230" s="78" t="n">
        <v>6.6</v>
      </c>
      <c r="D230" s="46" t="n">
        <v>3</v>
      </c>
      <c r="E230" s="46" t="n">
        <v>4.4</v>
      </c>
      <c r="F230" s="46" t="n">
        <v>1.4</v>
      </c>
      <c r="G230" s="45" t="n">
        <v>1</v>
      </c>
      <c r="I230" s="44">
        <f>I229-$K$2*T229</f>
        <v/>
      </c>
      <c r="J230" s="46">
        <f>J229-$K$2*U229</f>
        <v/>
      </c>
      <c r="K230" s="46">
        <f>K229-$K$2*V229</f>
        <v/>
      </c>
      <c r="L230" s="46">
        <f>L229-$K$2*W229</f>
        <v/>
      </c>
      <c r="M230" s="46">
        <f>M229-$K$2*X229</f>
        <v/>
      </c>
      <c r="N230" s="46">
        <f>I230+J230*C230+K230*D230+L230*E230+F230*M230</f>
        <v/>
      </c>
      <c r="O230" s="46">
        <f>1/(1+EXP(-N230))</f>
        <v/>
      </c>
      <c r="P230" s="47">
        <f>IF(O230&gt;0.5,1,0)</f>
        <v/>
      </c>
      <c r="Q230" s="47">
        <f>O230-G230</f>
        <v/>
      </c>
      <c r="R230" s="48">
        <f>Q230^2</f>
        <v/>
      </c>
      <c r="S230">
        <f>IF(P230=G230,1,0)</f>
        <v/>
      </c>
      <c r="T230">
        <f>2*(O230-G230)*(1-O230)*O230</f>
        <v/>
      </c>
      <c r="U230">
        <f>2*(O230-G230)*(1-O230)*O230*C230</f>
        <v/>
      </c>
      <c r="V230">
        <f>2*(O230-G230)*(1-O230)*O230*D230</f>
        <v/>
      </c>
      <c r="W230">
        <f>2*(O230-G230)*(1-O230)*O230*E230</f>
        <v/>
      </c>
      <c r="X230">
        <f>2*(O230-G230)*(1-O230)*O230*F230</f>
        <v/>
      </c>
    </row>
    <row r="231" ht="14.25" customHeight="1" s="96">
      <c r="B231" s="44" t="n">
        <v>67</v>
      </c>
      <c r="C231" s="78" t="n">
        <v>6.8</v>
      </c>
      <c r="D231" s="46" t="n">
        <v>2.8</v>
      </c>
      <c r="E231" s="46" t="n">
        <v>4.8</v>
      </c>
      <c r="F231" s="46" t="n">
        <v>1.4</v>
      </c>
      <c r="G231" s="45" t="n">
        <v>1</v>
      </c>
      <c r="I231" s="44">
        <f>I230-$K$2*T230</f>
        <v/>
      </c>
      <c r="J231" s="46">
        <f>J230-$K$2*U230</f>
        <v/>
      </c>
      <c r="K231" s="46">
        <f>K230-$K$2*V230</f>
        <v/>
      </c>
      <c r="L231" s="46">
        <f>L230-$K$2*W230</f>
        <v/>
      </c>
      <c r="M231" s="46">
        <f>M230-$K$2*X230</f>
        <v/>
      </c>
      <c r="N231" s="46">
        <f>I231+J231*C231+K231*D231+L231*E231+F231*M231</f>
        <v/>
      </c>
      <c r="O231" s="46">
        <f>1/(1+EXP(-N231))</f>
        <v/>
      </c>
      <c r="P231" s="47">
        <f>IF(O231&gt;0.5,1,0)</f>
        <v/>
      </c>
      <c r="Q231" s="47">
        <f>O231-G231</f>
        <v/>
      </c>
      <c r="R231" s="48">
        <f>Q231^2</f>
        <v/>
      </c>
      <c r="S231">
        <f>IF(P231=G231,1,0)</f>
        <v/>
      </c>
      <c r="T231">
        <f>2*(O231-G231)*(1-O231)*O231</f>
        <v/>
      </c>
      <c r="U231">
        <f>2*(O231-G231)*(1-O231)*O231*C231</f>
        <v/>
      </c>
      <c r="V231">
        <f>2*(O231-G231)*(1-O231)*O231*D231</f>
        <v/>
      </c>
      <c r="W231">
        <f>2*(O231-G231)*(1-O231)*O231*E231</f>
        <v/>
      </c>
      <c r="X231">
        <f>2*(O231-G231)*(1-O231)*O231*F231</f>
        <v/>
      </c>
    </row>
    <row r="232" ht="14.25" customHeight="1" s="96">
      <c r="B232" s="44" t="n">
        <v>68</v>
      </c>
      <c r="C232" s="78" t="n">
        <v>6.7</v>
      </c>
      <c r="D232" s="46" t="n">
        <v>3</v>
      </c>
      <c r="E232" s="46" t="n">
        <v>5</v>
      </c>
      <c r="F232" s="46" t="n">
        <v>1.7</v>
      </c>
      <c r="G232" s="45" t="n">
        <v>1</v>
      </c>
      <c r="I232" s="44">
        <f>I231-$K$2*T231</f>
        <v/>
      </c>
      <c r="J232" s="46">
        <f>J231-$K$2*U231</f>
        <v/>
      </c>
      <c r="K232" s="46">
        <f>K231-$K$2*V231</f>
        <v/>
      </c>
      <c r="L232" s="46">
        <f>L231-$K$2*W231</f>
        <v/>
      </c>
      <c r="M232" s="46">
        <f>M231-$K$2*X231</f>
        <v/>
      </c>
      <c r="N232" s="46">
        <f>I232+J232*C232+K232*D232+L232*E232+F232*M232</f>
        <v/>
      </c>
      <c r="O232" s="46">
        <f>1/(1+EXP(-N232))</f>
        <v/>
      </c>
      <c r="P232" s="47">
        <f>IF(O232&gt;0.5,1,0)</f>
        <v/>
      </c>
      <c r="Q232" s="47">
        <f>O232-G232</f>
        <v/>
      </c>
      <c r="R232" s="48">
        <f>Q232^2</f>
        <v/>
      </c>
      <c r="S232">
        <f>IF(P232=G232,1,0)</f>
        <v/>
      </c>
      <c r="T232">
        <f>2*(O232-G232)*(1-O232)*O232</f>
        <v/>
      </c>
      <c r="U232">
        <f>2*(O232-G232)*(1-O232)*O232*C232</f>
        <v/>
      </c>
      <c r="V232">
        <f>2*(O232-G232)*(1-O232)*O232*D232</f>
        <v/>
      </c>
      <c r="W232">
        <f>2*(O232-G232)*(1-O232)*O232*E232</f>
        <v/>
      </c>
      <c r="X232">
        <f>2*(O232-G232)*(1-O232)*O232*F232</f>
        <v/>
      </c>
    </row>
    <row r="233" ht="14.25" customHeight="1" s="96">
      <c r="B233" s="44" t="n">
        <v>69</v>
      </c>
      <c r="C233" s="78" t="n">
        <v>6</v>
      </c>
      <c r="D233" s="46" t="n">
        <v>2.9</v>
      </c>
      <c r="E233" s="46" t="n">
        <v>4.5</v>
      </c>
      <c r="F233" s="46" t="n">
        <v>1.5</v>
      </c>
      <c r="G233" s="45" t="n">
        <v>1</v>
      </c>
      <c r="I233" s="44">
        <f>I232-$K$2*T232</f>
        <v/>
      </c>
      <c r="J233" s="46">
        <f>J232-$K$2*U232</f>
        <v/>
      </c>
      <c r="K233" s="46">
        <f>K232-$K$2*V232</f>
        <v/>
      </c>
      <c r="L233" s="46">
        <f>L232-$K$2*W232</f>
        <v/>
      </c>
      <c r="M233" s="46">
        <f>M232-$K$2*X232</f>
        <v/>
      </c>
      <c r="N233" s="46">
        <f>I233+J233*C233+K233*D233+L233*E233+F233*M233</f>
        <v/>
      </c>
      <c r="O233" s="46">
        <f>1/(1+EXP(-N233))</f>
        <v/>
      </c>
      <c r="P233" s="47">
        <f>IF(O233&gt;0.5,1,0)</f>
        <v/>
      </c>
      <c r="Q233" s="47">
        <f>O233-G233</f>
        <v/>
      </c>
      <c r="R233" s="48">
        <f>Q233^2</f>
        <v/>
      </c>
      <c r="S233">
        <f>IF(P233=G233,1,0)</f>
        <v/>
      </c>
      <c r="T233">
        <f>2*(O233-G233)*(1-O233)*O233</f>
        <v/>
      </c>
      <c r="U233">
        <f>2*(O233-G233)*(1-O233)*O233*C233</f>
        <v/>
      </c>
      <c r="V233">
        <f>2*(O233-G233)*(1-O233)*O233*D233</f>
        <v/>
      </c>
      <c r="W233">
        <f>2*(O233-G233)*(1-O233)*O233*E233</f>
        <v/>
      </c>
      <c r="X233">
        <f>2*(O233-G233)*(1-O233)*O233*F233</f>
        <v/>
      </c>
    </row>
    <row r="234" ht="14.25" customHeight="1" s="96">
      <c r="B234" s="44" t="n">
        <v>70</v>
      </c>
      <c r="C234" s="78" t="n">
        <v>5.7</v>
      </c>
      <c r="D234" s="46" t="n">
        <v>2.6</v>
      </c>
      <c r="E234" s="46" t="n">
        <v>3.5</v>
      </c>
      <c r="F234" s="46" t="n">
        <v>1</v>
      </c>
      <c r="G234" s="45" t="n">
        <v>1</v>
      </c>
      <c r="I234" s="44">
        <f>I233-$K$2*T233</f>
        <v/>
      </c>
      <c r="J234" s="46">
        <f>J233-$K$2*U233</f>
        <v/>
      </c>
      <c r="K234" s="46">
        <f>K233-$K$2*V233</f>
        <v/>
      </c>
      <c r="L234" s="46">
        <f>L233-$K$2*W233</f>
        <v/>
      </c>
      <c r="M234" s="46">
        <f>M233-$K$2*X233</f>
        <v/>
      </c>
      <c r="N234" s="46">
        <f>I234+J234*C234+K234*D234+L234*E234+F234*M234</f>
        <v/>
      </c>
      <c r="O234" s="46">
        <f>1/(1+EXP(-N234))</f>
        <v/>
      </c>
      <c r="P234" s="47">
        <f>IF(O234&gt;0.5,1,0)</f>
        <v/>
      </c>
      <c r="Q234" s="47">
        <f>O234-G234</f>
        <v/>
      </c>
      <c r="R234" s="48">
        <f>Q234^2</f>
        <v/>
      </c>
      <c r="S234">
        <f>IF(P234=G234,1,0)</f>
        <v/>
      </c>
      <c r="T234">
        <f>2*(O234-G234)*(1-O234)*O234</f>
        <v/>
      </c>
      <c r="U234">
        <f>2*(O234-G234)*(1-O234)*O234*C234</f>
        <v/>
      </c>
      <c r="V234">
        <f>2*(O234-G234)*(1-O234)*O234*D234</f>
        <v/>
      </c>
      <c r="W234">
        <f>2*(O234-G234)*(1-O234)*O234*E234</f>
        <v/>
      </c>
      <c r="X234">
        <f>2*(O234-G234)*(1-O234)*O234*F234</f>
        <v/>
      </c>
    </row>
    <row r="235" ht="14.25" customHeight="1" s="96">
      <c r="B235" s="44" t="n">
        <v>71</v>
      </c>
      <c r="C235" s="78" t="n">
        <v>5.5</v>
      </c>
      <c r="D235" s="46" t="n">
        <v>2.4</v>
      </c>
      <c r="E235" s="46" t="n">
        <v>3.8</v>
      </c>
      <c r="F235" s="46" t="n">
        <v>1.1</v>
      </c>
      <c r="G235" s="45" t="n">
        <v>1</v>
      </c>
      <c r="I235" s="44">
        <f>I234-$K$2*T234</f>
        <v/>
      </c>
      <c r="J235" s="46">
        <f>J234-$K$2*U234</f>
        <v/>
      </c>
      <c r="K235" s="46">
        <f>K234-$K$2*V234</f>
        <v/>
      </c>
      <c r="L235" s="46">
        <f>L234-$K$2*W234</f>
        <v/>
      </c>
      <c r="M235" s="46">
        <f>M234-$K$2*X234</f>
        <v/>
      </c>
      <c r="N235" s="46">
        <f>I235+J235*C235+K235*D235+L235*E235+F235*M235</f>
        <v/>
      </c>
      <c r="O235" s="46">
        <f>1/(1+EXP(-N235))</f>
        <v/>
      </c>
      <c r="P235" s="47">
        <f>IF(O235&gt;0.5,1,0)</f>
        <v/>
      </c>
      <c r="Q235" s="47">
        <f>O235-G235</f>
        <v/>
      </c>
      <c r="R235" s="48">
        <f>Q235^2</f>
        <v/>
      </c>
      <c r="S235">
        <f>IF(P235=G235,1,0)</f>
        <v/>
      </c>
      <c r="T235">
        <f>2*(O235-G235)*(1-O235)*O235</f>
        <v/>
      </c>
      <c r="U235">
        <f>2*(O235-G235)*(1-O235)*O235*C235</f>
        <v/>
      </c>
      <c r="V235">
        <f>2*(O235-G235)*(1-O235)*O235*D235</f>
        <v/>
      </c>
      <c r="W235">
        <f>2*(O235-G235)*(1-O235)*O235*E235</f>
        <v/>
      </c>
      <c r="X235">
        <f>2*(O235-G235)*(1-O235)*O235*F235</f>
        <v/>
      </c>
    </row>
    <row r="236" ht="14.25" customHeight="1" s="96">
      <c r="B236" s="44" t="n">
        <v>72</v>
      </c>
      <c r="C236" s="78" t="n">
        <v>5.5</v>
      </c>
      <c r="D236" s="46" t="n">
        <v>2.4</v>
      </c>
      <c r="E236" s="46" t="n">
        <v>3.7</v>
      </c>
      <c r="F236" s="46" t="n">
        <v>1</v>
      </c>
      <c r="G236" s="45" t="n">
        <v>1</v>
      </c>
      <c r="I236" s="44">
        <f>I235-$K$2*T235</f>
        <v/>
      </c>
      <c r="J236" s="46">
        <f>J235-$K$2*U235</f>
        <v/>
      </c>
      <c r="K236" s="46">
        <f>K235-$K$2*V235</f>
        <v/>
      </c>
      <c r="L236" s="46">
        <f>L235-$K$2*W235</f>
        <v/>
      </c>
      <c r="M236" s="46">
        <f>M235-$K$2*X235</f>
        <v/>
      </c>
      <c r="N236" s="46">
        <f>I236+J236*C236+K236*D236+L236*E236+F236*M236</f>
        <v/>
      </c>
      <c r="O236" s="46">
        <f>1/(1+EXP(-N236))</f>
        <v/>
      </c>
      <c r="P236" s="47">
        <f>IF(O236&gt;0.5,1,0)</f>
        <v/>
      </c>
      <c r="Q236" s="47">
        <f>O236-G236</f>
        <v/>
      </c>
      <c r="R236" s="48">
        <f>Q236^2</f>
        <v/>
      </c>
      <c r="S236">
        <f>IF(P236=G236,1,0)</f>
        <v/>
      </c>
      <c r="T236">
        <f>2*(O236-G236)*(1-O236)*O236</f>
        <v/>
      </c>
      <c r="U236">
        <f>2*(O236-G236)*(1-O236)*O236*C236</f>
        <v/>
      </c>
      <c r="V236">
        <f>2*(O236-G236)*(1-O236)*O236*D236</f>
        <v/>
      </c>
      <c r="W236">
        <f>2*(O236-G236)*(1-O236)*O236*E236</f>
        <v/>
      </c>
      <c r="X236">
        <f>2*(O236-G236)*(1-O236)*O236*F236</f>
        <v/>
      </c>
    </row>
    <row r="237" ht="14.25" customHeight="1" s="96">
      <c r="B237" s="44" t="n">
        <v>73</v>
      </c>
      <c r="C237" s="78" t="n">
        <v>5.8</v>
      </c>
      <c r="D237" s="46" t="n">
        <v>2.7</v>
      </c>
      <c r="E237" s="46" t="n">
        <v>3.9</v>
      </c>
      <c r="F237" s="46" t="n">
        <v>1.2</v>
      </c>
      <c r="G237" s="45" t="n">
        <v>1</v>
      </c>
      <c r="I237" s="44">
        <f>I236-$K$2*T236</f>
        <v/>
      </c>
      <c r="J237" s="46">
        <f>J236-$K$2*U236</f>
        <v/>
      </c>
      <c r="K237" s="46">
        <f>K236-$K$2*V236</f>
        <v/>
      </c>
      <c r="L237" s="46">
        <f>L236-$K$2*W236</f>
        <v/>
      </c>
      <c r="M237" s="46">
        <f>M236-$K$2*X236</f>
        <v/>
      </c>
      <c r="N237" s="46">
        <f>I237+J237*C237+K237*D237+L237*E237+F237*M237</f>
        <v/>
      </c>
      <c r="O237" s="46">
        <f>1/(1+EXP(-N237))</f>
        <v/>
      </c>
      <c r="P237" s="47">
        <f>IF(O237&gt;0.5,1,0)</f>
        <v/>
      </c>
      <c r="Q237" s="47">
        <f>O237-G237</f>
        <v/>
      </c>
      <c r="R237" s="48">
        <f>Q237^2</f>
        <v/>
      </c>
      <c r="S237">
        <f>IF(P237=G237,1,0)</f>
        <v/>
      </c>
      <c r="T237">
        <f>2*(O237-G237)*(1-O237)*O237</f>
        <v/>
      </c>
      <c r="U237">
        <f>2*(O237-G237)*(1-O237)*O237*C237</f>
        <v/>
      </c>
      <c r="V237">
        <f>2*(O237-G237)*(1-O237)*O237*D237</f>
        <v/>
      </c>
      <c r="W237">
        <f>2*(O237-G237)*(1-O237)*O237*E237</f>
        <v/>
      </c>
      <c r="X237">
        <f>2*(O237-G237)*(1-O237)*O237*F237</f>
        <v/>
      </c>
    </row>
    <row r="238" ht="14.25" customHeight="1" s="96">
      <c r="B238" s="44" t="n">
        <v>74</v>
      </c>
      <c r="C238" s="78" t="n">
        <v>6</v>
      </c>
      <c r="D238" s="46" t="n">
        <v>2.7</v>
      </c>
      <c r="E238" s="46" t="n">
        <v>5.1</v>
      </c>
      <c r="F238" s="46" t="n">
        <v>1.6</v>
      </c>
      <c r="G238" s="45" t="n">
        <v>1</v>
      </c>
      <c r="I238" s="44">
        <f>I237-$K$2*T237</f>
        <v/>
      </c>
      <c r="J238" s="46">
        <f>J237-$K$2*U237</f>
        <v/>
      </c>
      <c r="K238" s="46">
        <f>K237-$K$2*V237</f>
        <v/>
      </c>
      <c r="L238" s="46">
        <f>L237-$K$2*W237</f>
        <v/>
      </c>
      <c r="M238" s="46">
        <f>M237-$K$2*X237</f>
        <v/>
      </c>
      <c r="N238" s="46">
        <f>I238+J238*C238+K238*D238+L238*E238+F238*M238</f>
        <v/>
      </c>
      <c r="O238" s="46">
        <f>1/(1+EXP(-N238))</f>
        <v/>
      </c>
      <c r="P238" s="47">
        <f>IF(O238&gt;0.5,1,0)</f>
        <v/>
      </c>
      <c r="Q238" s="47">
        <f>O238-G238</f>
        <v/>
      </c>
      <c r="R238" s="48">
        <f>Q238^2</f>
        <v/>
      </c>
      <c r="S238">
        <f>IF(P238=G238,1,0)</f>
        <v/>
      </c>
      <c r="T238">
        <f>2*(O238-G238)*(1-O238)*O238</f>
        <v/>
      </c>
      <c r="U238">
        <f>2*(O238-G238)*(1-O238)*O238*C238</f>
        <v/>
      </c>
      <c r="V238">
        <f>2*(O238-G238)*(1-O238)*O238*D238</f>
        <v/>
      </c>
      <c r="W238">
        <f>2*(O238-G238)*(1-O238)*O238*E238</f>
        <v/>
      </c>
      <c r="X238">
        <f>2*(O238-G238)*(1-O238)*O238*F238</f>
        <v/>
      </c>
    </row>
    <row r="239" ht="14.25" customHeight="1" s="96">
      <c r="B239" s="44" t="n">
        <v>75</v>
      </c>
      <c r="C239" s="78" t="n">
        <v>5.4</v>
      </c>
      <c r="D239" s="46" t="n">
        <v>3</v>
      </c>
      <c r="E239" s="46" t="n">
        <v>4.5</v>
      </c>
      <c r="F239" s="46" t="n">
        <v>1.5</v>
      </c>
      <c r="G239" s="45" t="n">
        <v>1</v>
      </c>
      <c r="I239" s="44">
        <f>I238-$K$2*T238</f>
        <v/>
      </c>
      <c r="J239" s="46">
        <f>J238-$K$2*U238</f>
        <v/>
      </c>
      <c r="K239" s="46">
        <f>K238-$K$2*V238</f>
        <v/>
      </c>
      <c r="L239" s="46">
        <f>L238-$K$2*W238</f>
        <v/>
      </c>
      <c r="M239" s="46">
        <f>M238-$K$2*X238</f>
        <v/>
      </c>
      <c r="N239" s="46">
        <f>I239+J239*C239+K239*D239+L239*E239+F239*M239</f>
        <v/>
      </c>
      <c r="O239" s="46">
        <f>1/(1+EXP(-N239))</f>
        <v/>
      </c>
      <c r="P239" s="47">
        <f>IF(O239&gt;0.5,1,0)</f>
        <v/>
      </c>
      <c r="Q239" s="47">
        <f>O239-G239</f>
        <v/>
      </c>
      <c r="R239" s="48">
        <f>Q239^2</f>
        <v/>
      </c>
      <c r="S239">
        <f>IF(P239=G239,1,0)</f>
        <v/>
      </c>
      <c r="T239">
        <f>2*(O239-G239)*(1-O239)*O239</f>
        <v/>
      </c>
      <c r="U239">
        <f>2*(O239-G239)*(1-O239)*O239*C239</f>
        <v/>
      </c>
      <c r="V239">
        <f>2*(O239-G239)*(1-O239)*O239*D239</f>
        <v/>
      </c>
      <c r="W239">
        <f>2*(O239-G239)*(1-O239)*O239*E239</f>
        <v/>
      </c>
      <c r="X239">
        <f>2*(O239-G239)*(1-O239)*O239*F239</f>
        <v/>
      </c>
    </row>
    <row r="240" ht="14.25" customHeight="1" s="96">
      <c r="B240" s="44" t="n">
        <v>76</v>
      </c>
      <c r="C240" s="78" t="n">
        <v>6</v>
      </c>
      <c r="D240" s="46" t="n">
        <v>3.4</v>
      </c>
      <c r="E240" s="46" t="n">
        <v>4.5</v>
      </c>
      <c r="F240" s="46" t="n">
        <v>1.6</v>
      </c>
      <c r="G240" s="45" t="n">
        <v>1</v>
      </c>
      <c r="I240" s="44">
        <f>I239-$K$2*T239</f>
        <v/>
      </c>
      <c r="J240" s="46">
        <f>J239-$K$2*U239</f>
        <v/>
      </c>
      <c r="K240" s="46">
        <f>K239-$K$2*V239</f>
        <v/>
      </c>
      <c r="L240" s="46">
        <f>L239-$K$2*W239</f>
        <v/>
      </c>
      <c r="M240" s="46">
        <f>M239-$K$2*X239</f>
        <v/>
      </c>
      <c r="N240" s="46">
        <f>I240+J240*C240+K240*D240+L240*E240+F240*M240</f>
        <v/>
      </c>
      <c r="O240" s="46">
        <f>1/(1+EXP(-N240))</f>
        <v/>
      </c>
      <c r="P240" s="47">
        <f>IF(O240&gt;0.5,1,0)</f>
        <v/>
      </c>
      <c r="Q240" s="47">
        <f>O240-G240</f>
        <v/>
      </c>
      <c r="R240" s="48">
        <f>Q240^2</f>
        <v/>
      </c>
      <c r="S240">
        <f>IF(P240=G240,1,0)</f>
        <v/>
      </c>
      <c r="T240">
        <f>2*(O240-G240)*(1-O240)*O240</f>
        <v/>
      </c>
      <c r="U240">
        <f>2*(O240-G240)*(1-O240)*O240*C240</f>
        <v/>
      </c>
      <c r="V240">
        <f>2*(O240-G240)*(1-O240)*O240*D240</f>
        <v/>
      </c>
      <c r="W240">
        <f>2*(O240-G240)*(1-O240)*O240*E240</f>
        <v/>
      </c>
      <c r="X240">
        <f>2*(O240-G240)*(1-O240)*O240*F240</f>
        <v/>
      </c>
    </row>
    <row r="241" ht="14.25" customHeight="1" s="96">
      <c r="B241" s="44" t="n">
        <v>77</v>
      </c>
      <c r="C241" s="78" t="n">
        <v>6.7</v>
      </c>
      <c r="D241" s="46" t="n">
        <v>3.1</v>
      </c>
      <c r="E241" s="46" t="n">
        <v>4.7</v>
      </c>
      <c r="F241" s="46" t="n">
        <v>1.5</v>
      </c>
      <c r="G241" s="45" t="n">
        <v>1</v>
      </c>
      <c r="I241" s="44">
        <f>I240-$K$2*T240</f>
        <v/>
      </c>
      <c r="J241" s="46">
        <f>J240-$K$2*U240</f>
        <v/>
      </c>
      <c r="K241" s="46">
        <f>K240-$K$2*V240</f>
        <v/>
      </c>
      <c r="L241" s="46">
        <f>L240-$K$2*W240</f>
        <v/>
      </c>
      <c r="M241" s="46">
        <f>M240-$K$2*X240</f>
        <v/>
      </c>
      <c r="N241" s="46">
        <f>I241+J241*C241+K241*D241+L241*E241+F241*M241</f>
        <v/>
      </c>
      <c r="O241" s="46">
        <f>1/(1+EXP(-N241))</f>
        <v/>
      </c>
      <c r="P241" s="47">
        <f>IF(O241&gt;0.5,1,0)</f>
        <v/>
      </c>
      <c r="Q241" s="47">
        <f>O241-G241</f>
        <v/>
      </c>
      <c r="R241" s="48">
        <f>Q241^2</f>
        <v/>
      </c>
      <c r="S241">
        <f>IF(P241=G241,1,0)</f>
        <v/>
      </c>
      <c r="T241">
        <f>2*(O241-G241)*(1-O241)*O241</f>
        <v/>
      </c>
      <c r="U241">
        <f>2*(O241-G241)*(1-O241)*O241*C241</f>
        <v/>
      </c>
      <c r="V241">
        <f>2*(O241-G241)*(1-O241)*O241*D241</f>
        <v/>
      </c>
      <c r="W241">
        <f>2*(O241-G241)*(1-O241)*O241*E241</f>
        <v/>
      </c>
      <c r="X241">
        <f>2*(O241-G241)*(1-O241)*O241*F241</f>
        <v/>
      </c>
    </row>
    <row r="242" ht="14.25" customHeight="1" s="96">
      <c r="B242" s="44" t="n">
        <v>78</v>
      </c>
      <c r="C242" s="78" t="n">
        <v>6.3</v>
      </c>
      <c r="D242" s="46" t="n">
        <v>2.3</v>
      </c>
      <c r="E242" s="46" t="n">
        <v>4.4</v>
      </c>
      <c r="F242" s="46" t="n">
        <v>1.3</v>
      </c>
      <c r="G242" s="45" t="n">
        <v>1</v>
      </c>
      <c r="I242" s="44">
        <f>I241-$K$2*T241</f>
        <v/>
      </c>
      <c r="J242" s="46">
        <f>J241-$K$2*U241</f>
        <v/>
      </c>
      <c r="K242" s="46">
        <f>K241-$K$2*V241</f>
        <v/>
      </c>
      <c r="L242" s="46">
        <f>L241-$K$2*W241</f>
        <v/>
      </c>
      <c r="M242" s="46">
        <f>M241-$K$2*X241</f>
        <v/>
      </c>
      <c r="N242" s="46">
        <f>I242+J242*C242+K242*D242+L242*E242+F242*M242</f>
        <v/>
      </c>
      <c r="O242" s="46">
        <f>1/(1+EXP(-N242))</f>
        <v/>
      </c>
      <c r="P242" s="47">
        <f>IF(O242&gt;0.5,1,0)</f>
        <v/>
      </c>
      <c r="Q242" s="47">
        <f>O242-G242</f>
        <v/>
      </c>
      <c r="R242" s="48">
        <f>Q242^2</f>
        <v/>
      </c>
      <c r="S242">
        <f>IF(P242=G242,1,0)</f>
        <v/>
      </c>
      <c r="T242">
        <f>2*(O242-G242)*(1-O242)*O242</f>
        <v/>
      </c>
      <c r="U242">
        <f>2*(O242-G242)*(1-O242)*O242*C242</f>
        <v/>
      </c>
      <c r="V242">
        <f>2*(O242-G242)*(1-O242)*O242*D242</f>
        <v/>
      </c>
      <c r="W242">
        <f>2*(O242-G242)*(1-O242)*O242*E242</f>
        <v/>
      </c>
      <c r="X242">
        <f>2*(O242-G242)*(1-O242)*O242*F242</f>
        <v/>
      </c>
    </row>
    <row r="243" ht="14.25" customHeight="1" s="96">
      <c r="B243" s="44" t="n">
        <v>79</v>
      </c>
      <c r="C243" s="78" t="n">
        <v>5.6</v>
      </c>
      <c r="D243" s="46" t="n">
        <v>3</v>
      </c>
      <c r="E243" s="46" t="n">
        <v>4.1</v>
      </c>
      <c r="F243" s="46" t="n">
        <v>1.3</v>
      </c>
      <c r="G243" s="45" t="n">
        <v>1</v>
      </c>
      <c r="I243" s="44">
        <f>I242-$K$2*T242</f>
        <v/>
      </c>
      <c r="J243" s="46">
        <f>J242-$K$2*U242</f>
        <v/>
      </c>
      <c r="K243" s="46">
        <f>K242-$K$2*V242</f>
        <v/>
      </c>
      <c r="L243" s="46">
        <f>L242-$K$2*W242</f>
        <v/>
      </c>
      <c r="M243" s="46">
        <f>M242-$K$2*X242</f>
        <v/>
      </c>
      <c r="N243" s="46">
        <f>I243+J243*C243+K243*D243+L243*E243+F243*M243</f>
        <v/>
      </c>
      <c r="O243" s="46">
        <f>1/(1+EXP(-N243))</f>
        <v/>
      </c>
      <c r="P243" s="47">
        <f>IF(O243&gt;0.5,1,0)</f>
        <v/>
      </c>
      <c r="Q243" s="47">
        <f>O243-G243</f>
        <v/>
      </c>
      <c r="R243" s="48">
        <f>Q243^2</f>
        <v/>
      </c>
      <c r="S243">
        <f>IF(P243=G243,1,0)</f>
        <v/>
      </c>
      <c r="T243">
        <f>2*(O243-G243)*(1-O243)*O243</f>
        <v/>
      </c>
      <c r="U243">
        <f>2*(O243-G243)*(1-O243)*O243*C243</f>
        <v/>
      </c>
      <c r="V243">
        <f>2*(O243-G243)*(1-O243)*O243*D243</f>
        <v/>
      </c>
      <c r="W243">
        <f>2*(O243-G243)*(1-O243)*O243*E243</f>
        <v/>
      </c>
      <c r="X243">
        <f>2*(O243-G243)*(1-O243)*O243*F243</f>
        <v/>
      </c>
    </row>
    <row r="244" ht="14.25" customHeight="1" s="96">
      <c r="B244" s="44" t="n">
        <v>80</v>
      </c>
      <c r="C244" s="78" t="n">
        <v>5.5</v>
      </c>
      <c r="D244" s="46" t="n">
        <v>2.5</v>
      </c>
      <c r="E244" s="46" t="n">
        <v>4</v>
      </c>
      <c r="F244" s="46" t="n">
        <v>1.3</v>
      </c>
      <c r="G244" s="45" t="n">
        <v>1</v>
      </c>
      <c r="I244" s="44">
        <f>I243-$K$2*T243</f>
        <v/>
      </c>
      <c r="J244" s="46">
        <f>J243-$K$2*U243</f>
        <v/>
      </c>
      <c r="K244" s="46">
        <f>K243-$K$2*V243</f>
        <v/>
      </c>
      <c r="L244" s="46">
        <f>L243-$K$2*W243</f>
        <v/>
      </c>
      <c r="M244" s="46">
        <f>M243-$K$2*X243</f>
        <v/>
      </c>
      <c r="N244" s="46">
        <f>I244+J244*C244+K244*D244+L244*E244+F244*M244</f>
        <v/>
      </c>
      <c r="O244" s="46">
        <f>1/(1+EXP(-N244))</f>
        <v/>
      </c>
      <c r="P244" s="47">
        <f>IF(O244&gt;0.5,1,0)</f>
        <v/>
      </c>
      <c r="Q244" s="47">
        <f>O244-G244</f>
        <v/>
      </c>
      <c r="R244" s="48">
        <f>Q244^2</f>
        <v/>
      </c>
      <c r="S244">
        <f>IF(P244=G244,1,0)</f>
        <v/>
      </c>
      <c r="T244">
        <f>2*(O244-G244)*(1-O244)*O244</f>
        <v/>
      </c>
      <c r="U244">
        <f>2*(O244-G244)*(1-O244)*O244*C244</f>
        <v/>
      </c>
      <c r="V244">
        <f>2*(O244-G244)*(1-O244)*O244*D244</f>
        <v/>
      </c>
      <c r="W244">
        <f>2*(O244-G244)*(1-O244)*O244*E244</f>
        <v/>
      </c>
      <c r="X244">
        <f>2*(O244-G244)*(1-O244)*O244*F244</f>
        <v/>
      </c>
    </row>
    <row r="245" ht="14.25" customHeight="1" s="96">
      <c r="A245" s="119" t="inlineStr">
        <is>
          <t>epoch 4</t>
        </is>
      </c>
      <c r="B245" s="44" t="n">
        <v>1</v>
      </c>
      <c r="C245" s="78" t="n">
        <v>5.1</v>
      </c>
      <c r="D245" s="46" t="n">
        <v>3.5</v>
      </c>
      <c r="E245" s="46" t="n">
        <v>1.4</v>
      </c>
      <c r="F245" s="46" t="n">
        <v>0.2</v>
      </c>
      <c r="G245" s="45" t="n">
        <v>0</v>
      </c>
      <c r="I245" s="44">
        <f>I244-$K$2*T244</f>
        <v/>
      </c>
      <c r="J245" s="46">
        <f>J244-$K$2*U244</f>
        <v/>
      </c>
      <c r="K245" s="46">
        <f>K244-$K$2*V244</f>
        <v/>
      </c>
      <c r="L245" s="46">
        <f>L244-$K$2*W244</f>
        <v/>
      </c>
      <c r="M245" s="46">
        <f>M244-$K$2*X244</f>
        <v/>
      </c>
      <c r="N245" s="46">
        <f>I245+J245*C245+K245*D245+L245*E245+F245*M245</f>
        <v/>
      </c>
      <c r="O245" s="46">
        <f>1/(1+EXP(-N245))</f>
        <v/>
      </c>
      <c r="P245" s="47">
        <f>IF(O245&gt;0.5,1,0)</f>
        <v/>
      </c>
      <c r="Q245" s="47">
        <f>O245-G245</f>
        <v/>
      </c>
      <c r="R245" s="48">
        <f>Q245^2</f>
        <v/>
      </c>
      <c r="S245">
        <f>IF(P245=G245,1,0)</f>
        <v/>
      </c>
      <c r="T245">
        <f>2*(O245-G245)*(1-O245)*O245</f>
        <v/>
      </c>
      <c r="U245">
        <f>2*(O245-G245)*(1-O245)*O245*C245</f>
        <v/>
      </c>
      <c r="V245">
        <f>2*(O245-G245)*(1-O245)*O245*D245</f>
        <v/>
      </c>
      <c r="W245">
        <f>2*(O245-G245)*(1-O245)*O245*E245</f>
        <v/>
      </c>
      <c r="X245">
        <f>2*(O245-G245)*(1-O245)*O245*F245</f>
        <v/>
      </c>
    </row>
    <row r="246" ht="14.25" customHeight="1" s="96">
      <c r="B246" s="44" t="n">
        <v>2</v>
      </c>
      <c r="C246" s="78" t="n">
        <v>4.9</v>
      </c>
      <c r="D246" s="46" t="n">
        <v>3</v>
      </c>
      <c r="E246" s="46" t="n">
        <v>1.4</v>
      </c>
      <c r="F246" s="46" t="n">
        <v>0.2</v>
      </c>
      <c r="G246" s="45" t="n">
        <v>0</v>
      </c>
      <c r="I246" s="44">
        <f>I245-$K$2*T245</f>
        <v/>
      </c>
      <c r="J246" s="46">
        <f>J245-$K$2*U245</f>
        <v/>
      </c>
      <c r="K246" s="46">
        <f>K245-$K$2*V245</f>
        <v/>
      </c>
      <c r="L246" s="46">
        <f>L245-$K$2*W245</f>
        <v/>
      </c>
      <c r="M246" s="46">
        <f>M245-$K$2*X245</f>
        <v/>
      </c>
      <c r="N246" s="46">
        <f>I246+J246*C246+K246*D246+L246*E246+F246*M246</f>
        <v/>
      </c>
      <c r="O246" s="46">
        <f>1/(1+EXP(-N246))</f>
        <v/>
      </c>
      <c r="P246" s="47">
        <f>IF(O246&gt;0.5,1,0)</f>
        <v/>
      </c>
      <c r="Q246" s="47">
        <f>O246-G246</f>
        <v/>
      </c>
      <c r="R246" s="48">
        <f>Q246^2</f>
        <v/>
      </c>
      <c r="S246">
        <f>IF(P246=G246,1,0)</f>
        <v/>
      </c>
      <c r="T246">
        <f>2*(O246-G246)*(1-O246)*O246</f>
        <v/>
      </c>
      <c r="U246">
        <f>2*(O246-G246)*(1-O246)*O246*C246</f>
        <v/>
      </c>
      <c r="V246">
        <f>2*(O246-G246)*(1-O246)*O246*D246</f>
        <v/>
      </c>
      <c r="W246">
        <f>2*(O246-G246)*(1-O246)*O246*E246</f>
        <v/>
      </c>
      <c r="X246">
        <f>2*(O246-G246)*(1-O246)*O246*F246</f>
        <v/>
      </c>
    </row>
    <row r="247" ht="14.25" customHeight="1" s="96">
      <c r="B247" s="44" t="n">
        <v>3</v>
      </c>
      <c r="C247" s="78" t="n">
        <v>4.7</v>
      </c>
      <c r="D247" s="46" t="n">
        <v>3.2</v>
      </c>
      <c r="E247" s="46" t="n">
        <v>1.3</v>
      </c>
      <c r="F247" s="46" t="n">
        <v>0.2</v>
      </c>
      <c r="G247" s="45" t="n">
        <v>0</v>
      </c>
      <c r="I247" s="44">
        <f>I246-$K$2*T246</f>
        <v/>
      </c>
      <c r="J247" s="46">
        <f>J246-$K$2*U246</f>
        <v/>
      </c>
      <c r="K247" s="46">
        <f>K246-$K$2*V246</f>
        <v/>
      </c>
      <c r="L247" s="46">
        <f>L246-$K$2*W246</f>
        <v/>
      </c>
      <c r="M247" s="46">
        <f>M246-$K$2*X246</f>
        <v/>
      </c>
      <c r="N247" s="46">
        <f>I247+J247*C247+K247*D247+L247*E247+F247*M247</f>
        <v/>
      </c>
      <c r="O247" s="46">
        <f>1/(1+EXP(-N247))</f>
        <v/>
      </c>
      <c r="P247" s="47">
        <f>IF(O247&gt;0.5,1,0)</f>
        <v/>
      </c>
      <c r="Q247" s="47">
        <f>O247-G247</f>
        <v/>
      </c>
      <c r="R247" s="48">
        <f>Q247^2</f>
        <v/>
      </c>
      <c r="S247">
        <f>IF(P247=G247,1,0)</f>
        <v/>
      </c>
      <c r="T247">
        <f>2*(O247-G247)*(1-O247)*O247</f>
        <v/>
      </c>
      <c r="U247">
        <f>2*(O247-G247)*(1-O247)*O247*C247</f>
        <v/>
      </c>
      <c r="V247">
        <f>2*(O247-G247)*(1-O247)*O247*D247</f>
        <v/>
      </c>
      <c r="W247">
        <f>2*(O247-G247)*(1-O247)*O247*E247</f>
        <v/>
      </c>
      <c r="X247">
        <f>2*(O247-G247)*(1-O247)*O247*F247</f>
        <v/>
      </c>
    </row>
    <row r="248" ht="14.25" customHeight="1" s="96">
      <c r="B248" s="44" t="n">
        <v>4</v>
      </c>
      <c r="C248" s="78" t="n">
        <v>4.6</v>
      </c>
      <c r="D248" s="46" t="n">
        <v>3.1</v>
      </c>
      <c r="E248" s="46" t="n">
        <v>1.5</v>
      </c>
      <c r="F248" s="46" t="n">
        <v>0.2</v>
      </c>
      <c r="G248" s="45" t="n">
        <v>0</v>
      </c>
      <c r="I248" s="44">
        <f>I247-$K$2*T247</f>
        <v/>
      </c>
      <c r="J248" s="46">
        <f>J247-$K$2*U247</f>
        <v/>
      </c>
      <c r="K248" s="46">
        <f>K247-$K$2*V247</f>
        <v/>
      </c>
      <c r="L248" s="46">
        <f>L247-$K$2*W247</f>
        <v/>
      </c>
      <c r="M248" s="46">
        <f>M247-$K$2*X247</f>
        <v/>
      </c>
      <c r="N248" s="46">
        <f>I248+J248*C248+K248*D248+L248*E248+F248*M248</f>
        <v/>
      </c>
      <c r="O248" s="46">
        <f>1/(1+EXP(-N248))</f>
        <v/>
      </c>
      <c r="P248" s="47">
        <f>IF(O248&gt;0.5,1,0)</f>
        <v/>
      </c>
      <c r="Q248" s="47">
        <f>O248-G248</f>
        <v/>
      </c>
      <c r="R248" s="48">
        <f>Q248^2</f>
        <v/>
      </c>
      <c r="S248">
        <f>IF(P248=G248,1,0)</f>
        <v/>
      </c>
      <c r="T248">
        <f>2*(O248-G248)*(1-O248)*O248</f>
        <v/>
      </c>
      <c r="U248">
        <f>2*(O248-G248)*(1-O248)*O248*C248</f>
        <v/>
      </c>
      <c r="V248">
        <f>2*(O248-G248)*(1-O248)*O248*D248</f>
        <v/>
      </c>
      <c r="W248">
        <f>2*(O248-G248)*(1-O248)*O248*E248</f>
        <v/>
      </c>
      <c r="X248">
        <f>2*(O248-G248)*(1-O248)*O248*F248</f>
        <v/>
      </c>
    </row>
    <row r="249" ht="14.25" customHeight="1" s="96">
      <c r="B249" s="44" t="n">
        <v>5</v>
      </c>
      <c r="C249" s="78" t="n">
        <v>5</v>
      </c>
      <c r="D249" s="46" t="n">
        <v>3.6</v>
      </c>
      <c r="E249" s="46" t="n">
        <v>1.4</v>
      </c>
      <c r="F249" s="46" t="n">
        <v>0.2</v>
      </c>
      <c r="G249" s="45" t="n">
        <v>0</v>
      </c>
      <c r="I249" s="44">
        <f>I248-$K$2*T248</f>
        <v/>
      </c>
      <c r="J249" s="46">
        <f>J248-$K$2*U248</f>
        <v/>
      </c>
      <c r="K249" s="46">
        <f>K248-$K$2*V248</f>
        <v/>
      </c>
      <c r="L249" s="46">
        <f>L248-$K$2*W248</f>
        <v/>
      </c>
      <c r="M249" s="46">
        <f>M248-$K$2*X248</f>
        <v/>
      </c>
      <c r="N249" s="46">
        <f>I249+J249*C249+K249*D249+L249*E249+F249*M249</f>
        <v/>
      </c>
      <c r="O249" s="46">
        <f>1/(1+EXP(-N249))</f>
        <v/>
      </c>
      <c r="P249" s="47">
        <f>IF(O249&gt;0.5,1,0)</f>
        <v/>
      </c>
      <c r="Q249" s="47">
        <f>O249-G249</f>
        <v/>
      </c>
      <c r="R249" s="48">
        <f>Q249^2</f>
        <v/>
      </c>
      <c r="S249">
        <f>IF(P249=G249,1,0)</f>
        <v/>
      </c>
      <c r="T249">
        <f>2*(O249-G249)*(1-O249)*O249</f>
        <v/>
      </c>
      <c r="U249">
        <f>2*(O249-G249)*(1-O249)*O249*C249</f>
        <v/>
      </c>
      <c r="V249">
        <f>2*(O249-G249)*(1-O249)*O249*D249</f>
        <v/>
      </c>
      <c r="W249">
        <f>2*(O249-G249)*(1-O249)*O249*E249</f>
        <v/>
      </c>
      <c r="X249">
        <f>2*(O249-G249)*(1-O249)*O249*F249</f>
        <v/>
      </c>
    </row>
    <row r="250" ht="14.25" customHeight="1" s="96">
      <c r="B250" s="44" t="n">
        <v>6</v>
      </c>
      <c r="C250" s="78" t="n">
        <v>5.4</v>
      </c>
      <c r="D250" s="46" t="n">
        <v>3.9</v>
      </c>
      <c r="E250" s="46" t="n">
        <v>1.7</v>
      </c>
      <c r="F250" s="46" t="n">
        <v>0.4</v>
      </c>
      <c r="G250" s="45" t="n">
        <v>0</v>
      </c>
      <c r="I250" s="44">
        <f>I249-$K$2*T249</f>
        <v/>
      </c>
      <c r="J250" s="46">
        <f>J249-$K$2*U249</f>
        <v/>
      </c>
      <c r="K250" s="46">
        <f>K249-$K$2*V249</f>
        <v/>
      </c>
      <c r="L250" s="46">
        <f>L249-$K$2*W249</f>
        <v/>
      </c>
      <c r="M250" s="46">
        <f>M249-$K$2*X249</f>
        <v/>
      </c>
      <c r="N250" s="46">
        <f>I250+J250*C250+K250*D250+L250*E250+F250*M250</f>
        <v/>
      </c>
      <c r="O250" s="46">
        <f>1/(1+EXP(-N250))</f>
        <v/>
      </c>
      <c r="P250" s="47">
        <f>IF(O250&gt;0.5,1,0)</f>
        <v/>
      </c>
      <c r="Q250" s="47">
        <f>O250-G250</f>
        <v/>
      </c>
      <c r="R250" s="48">
        <f>Q250^2</f>
        <v/>
      </c>
      <c r="S250">
        <f>IF(P250=G250,1,0)</f>
        <v/>
      </c>
      <c r="T250">
        <f>2*(O250-G250)*(1-O250)*O250</f>
        <v/>
      </c>
      <c r="U250">
        <f>2*(O250-G250)*(1-O250)*O250*C250</f>
        <v/>
      </c>
      <c r="V250">
        <f>2*(O250-G250)*(1-O250)*O250*D250</f>
        <v/>
      </c>
      <c r="W250">
        <f>2*(O250-G250)*(1-O250)*O250*E250</f>
        <v/>
      </c>
      <c r="X250">
        <f>2*(O250-G250)*(1-O250)*O250*F250</f>
        <v/>
      </c>
    </row>
    <row r="251" ht="14.25" customHeight="1" s="96">
      <c r="B251" s="44" t="n">
        <v>7</v>
      </c>
      <c r="C251" s="78" t="n">
        <v>4.6</v>
      </c>
      <c r="D251" s="46" t="n">
        <v>3.4</v>
      </c>
      <c r="E251" s="46" t="n">
        <v>1.4</v>
      </c>
      <c r="F251" s="46" t="n">
        <v>0.3</v>
      </c>
      <c r="G251" s="45" t="n">
        <v>0</v>
      </c>
      <c r="I251" s="44">
        <f>I250-$K$2*T250</f>
        <v/>
      </c>
      <c r="J251" s="46">
        <f>J250-$K$2*U250</f>
        <v/>
      </c>
      <c r="K251" s="46">
        <f>K250-$K$2*V250</f>
        <v/>
      </c>
      <c r="L251" s="46">
        <f>L250-$K$2*W250</f>
        <v/>
      </c>
      <c r="M251" s="46">
        <f>M250-$K$2*X250</f>
        <v/>
      </c>
      <c r="N251" s="46">
        <f>I251+J251*C251+K251*D251+L251*E251+F251*M251</f>
        <v/>
      </c>
      <c r="O251" s="46">
        <f>1/(1+EXP(-N251))</f>
        <v/>
      </c>
      <c r="P251" s="47">
        <f>IF(O251&gt;0.5,1,0)</f>
        <v/>
      </c>
      <c r="Q251" s="47">
        <f>O251-G251</f>
        <v/>
      </c>
      <c r="R251" s="48">
        <f>Q251^2</f>
        <v/>
      </c>
      <c r="S251">
        <f>IF(P251=G251,1,0)</f>
        <v/>
      </c>
      <c r="T251">
        <f>2*(O251-G251)*(1-O251)*O251</f>
        <v/>
      </c>
      <c r="U251">
        <f>2*(O251-G251)*(1-O251)*O251*C251</f>
        <v/>
      </c>
      <c r="V251">
        <f>2*(O251-G251)*(1-O251)*O251*D251</f>
        <v/>
      </c>
      <c r="W251">
        <f>2*(O251-G251)*(1-O251)*O251*E251</f>
        <v/>
      </c>
      <c r="X251">
        <f>2*(O251-G251)*(1-O251)*O251*F251</f>
        <v/>
      </c>
    </row>
    <row r="252" ht="14.25" customHeight="1" s="96">
      <c r="B252" s="44" t="n">
        <v>8</v>
      </c>
      <c r="C252" s="78" t="n">
        <v>5</v>
      </c>
      <c r="D252" s="46" t="n">
        <v>3.4</v>
      </c>
      <c r="E252" s="46" t="n">
        <v>1.5</v>
      </c>
      <c r="F252" s="46" t="n">
        <v>0.2</v>
      </c>
      <c r="G252" s="45" t="n">
        <v>0</v>
      </c>
      <c r="I252" s="44">
        <f>I251-$K$2*T251</f>
        <v/>
      </c>
      <c r="J252" s="46">
        <f>J251-$K$2*U251</f>
        <v/>
      </c>
      <c r="K252" s="46">
        <f>K251-$K$2*V251</f>
        <v/>
      </c>
      <c r="L252" s="46">
        <f>L251-$K$2*W251</f>
        <v/>
      </c>
      <c r="M252" s="46">
        <f>M251-$K$2*X251</f>
        <v/>
      </c>
      <c r="N252" s="46">
        <f>I252+J252*C252+K252*D252+L252*E252+F252*M252</f>
        <v/>
      </c>
      <c r="O252" s="46">
        <f>1/(1+EXP(-N252))</f>
        <v/>
      </c>
      <c r="P252" s="47">
        <f>IF(O252&gt;0.5,1,0)</f>
        <v/>
      </c>
      <c r="Q252" s="47">
        <f>O252-G252</f>
        <v/>
      </c>
      <c r="R252" s="48">
        <f>Q252^2</f>
        <v/>
      </c>
      <c r="S252">
        <f>IF(P252=G252,1,0)</f>
        <v/>
      </c>
      <c r="T252">
        <f>2*(O252-G252)*(1-O252)*O252</f>
        <v/>
      </c>
      <c r="U252">
        <f>2*(O252-G252)*(1-O252)*O252*C252</f>
        <v/>
      </c>
      <c r="V252">
        <f>2*(O252-G252)*(1-O252)*O252*D252</f>
        <v/>
      </c>
      <c r="W252">
        <f>2*(O252-G252)*(1-O252)*O252*E252</f>
        <v/>
      </c>
      <c r="X252">
        <f>2*(O252-G252)*(1-O252)*O252*F252</f>
        <v/>
      </c>
    </row>
    <row r="253" ht="14.25" customHeight="1" s="96">
      <c r="B253" s="44" t="n">
        <v>9</v>
      </c>
      <c r="C253" s="78" t="n">
        <v>4.4</v>
      </c>
      <c r="D253" s="46" t="n">
        <v>2.9</v>
      </c>
      <c r="E253" s="46" t="n">
        <v>1.4</v>
      </c>
      <c r="F253" s="46" t="n">
        <v>0.2</v>
      </c>
      <c r="G253" s="45" t="n">
        <v>0</v>
      </c>
      <c r="I253" s="44">
        <f>I252-$K$2*T252</f>
        <v/>
      </c>
      <c r="J253" s="46">
        <f>J252-$K$2*U252</f>
        <v/>
      </c>
      <c r="K253" s="46">
        <f>K252-$K$2*V252</f>
        <v/>
      </c>
      <c r="L253" s="46">
        <f>L252-$K$2*W252</f>
        <v/>
      </c>
      <c r="M253" s="46">
        <f>M252-$K$2*X252</f>
        <v/>
      </c>
      <c r="N253" s="46">
        <f>I253+J253*C253+K253*D253+L253*E253+F253*M253</f>
        <v/>
      </c>
      <c r="O253" s="46">
        <f>1/(1+EXP(-N253))</f>
        <v/>
      </c>
      <c r="P253" s="47">
        <f>IF(O253&gt;0.5,1,0)</f>
        <v/>
      </c>
      <c r="Q253" s="47">
        <f>O253-G253</f>
        <v/>
      </c>
      <c r="R253" s="48">
        <f>Q253^2</f>
        <v/>
      </c>
      <c r="S253">
        <f>IF(P253=G253,1,0)</f>
        <v/>
      </c>
      <c r="T253">
        <f>2*(O253-G253)*(1-O253)*O253</f>
        <v/>
      </c>
      <c r="U253">
        <f>2*(O253-G253)*(1-O253)*O253*C253</f>
        <v/>
      </c>
      <c r="V253">
        <f>2*(O253-G253)*(1-O253)*O253*D253</f>
        <v/>
      </c>
      <c r="W253">
        <f>2*(O253-G253)*(1-O253)*O253*E253</f>
        <v/>
      </c>
      <c r="X253">
        <f>2*(O253-G253)*(1-O253)*O253*F253</f>
        <v/>
      </c>
    </row>
    <row r="254" ht="14.25" customHeight="1" s="96">
      <c r="B254" s="44" t="n">
        <v>10</v>
      </c>
      <c r="C254" s="78" t="n">
        <v>4.9</v>
      </c>
      <c r="D254" s="46" t="n">
        <v>3.1</v>
      </c>
      <c r="E254" s="46" t="n">
        <v>1.5</v>
      </c>
      <c r="F254" s="46" t="n">
        <v>0.1</v>
      </c>
      <c r="G254" s="45" t="n">
        <v>0</v>
      </c>
      <c r="I254" s="44">
        <f>I253-$K$2*T253</f>
        <v/>
      </c>
      <c r="J254" s="46">
        <f>J253-$K$2*U253</f>
        <v/>
      </c>
      <c r="K254" s="46">
        <f>K253-$K$2*V253</f>
        <v/>
      </c>
      <c r="L254" s="46">
        <f>L253-$K$2*W253</f>
        <v/>
      </c>
      <c r="M254" s="46">
        <f>M253-$K$2*X253</f>
        <v/>
      </c>
      <c r="N254" s="46">
        <f>I254+J254*C254+K254*D254+L254*E254+F254*M254</f>
        <v/>
      </c>
      <c r="O254" s="46">
        <f>1/(1+EXP(-N254))</f>
        <v/>
      </c>
      <c r="P254" s="47">
        <f>IF(O254&gt;0.5,1,0)</f>
        <v/>
      </c>
      <c r="Q254" s="47">
        <f>O254-G254</f>
        <v/>
      </c>
      <c r="R254" s="48">
        <f>Q254^2</f>
        <v/>
      </c>
      <c r="S254">
        <f>IF(P254=G254,1,0)</f>
        <v/>
      </c>
      <c r="T254">
        <f>2*(O254-G254)*(1-O254)*O254</f>
        <v/>
      </c>
      <c r="U254">
        <f>2*(O254-G254)*(1-O254)*O254*C254</f>
        <v/>
      </c>
      <c r="V254">
        <f>2*(O254-G254)*(1-O254)*O254*D254</f>
        <v/>
      </c>
      <c r="W254">
        <f>2*(O254-G254)*(1-O254)*O254*E254</f>
        <v/>
      </c>
      <c r="X254">
        <f>2*(O254-G254)*(1-O254)*O254*F254</f>
        <v/>
      </c>
    </row>
    <row r="255" ht="14.25" customHeight="1" s="96">
      <c r="B255" s="44" t="n">
        <v>11</v>
      </c>
      <c r="C255" s="78" t="n">
        <v>5.4</v>
      </c>
      <c r="D255" s="46" t="n">
        <v>3.7</v>
      </c>
      <c r="E255" s="46" t="n">
        <v>1.5</v>
      </c>
      <c r="F255" s="46" t="n">
        <v>0.2</v>
      </c>
      <c r="G255" s="45" t="n">
        <v>0</v>
      </c>
      <c r="I255" s="44">
        <f>I254-$K$2*T254</f>
        <v/>
      </c>
      <c r="J255" s="46">
        <f>J254-$K$2*U254</f>
        <v/>
      </c>
      <c r="K255" s="46">
        <f>K254-$K$2*V254</f>
        <v/>
      </c>
      <c r="L255" s="46">
        <f>L254-$K$2*W254</f>
        <v/>
      </c>
      <c r="M255" s="46">
        <f>M254-$K$2*X254</f>
        <v/>
      </c>
      <c r="N255" s="46">
        <f>I255+J255*C255+K255*D255+L255*E255+F255*M255</f>
        <v/>
      </c>
      <c r="O255" s="46">
        <f>1/(1+EXP(-N255))</f>
        <v/>
      </c>
      <c r="P255" s="47">
        <f>IF(O255&gt;0.5,1,0)</f>
        <v/>
      </c>
      <c r="Q255" s="47">
        <f>O255-G255</f>
        <v/>
      </c>
      <c r="R255" s="48">
        <f>Q255^2</f>
        <v/>
      </c>
      <c r="S255">
        <f>IF(P255=G255,1,0)</f>
        <v/>
      </c>
      <c r="T255">
        <f>2*(O255-G255)*(1-O255)*O255</f>
        <v/>
      </c>
      <c r="U255">
        <f>2*(O255-G255)*(1-O255)*O255*C255</f>
        <v/>
      </c>
      <c r="V255">
        <f>2*(O255-G255)*(1-O255)*O255*D255</f>
        <v/>
      </c>
      <c r="W255">
        <f>2*(O255-G255)*(1-O255)*O255*E255</f>
        <v/>
      </c>
      <c r="X255">
        <f>2*(O255-G255)*(1-O255)*O255*F255</f>
        <v/>
      </c>
    </row>
    <row r="256" ht="14.25" customHeight="1" s="96">
      <c r="B256" s="44" t="n">
        <v>12</v>
      </c>
      <c r="C256" s="78" t="n">
        <v>4.8</v>
      </c>
      <c r="D256" s="46" t="n">
        <v>3.4</v>
      </c>
      <c r="E256" s="46" t="n">
        <v>1.6</v>
      </c>
      <c r="F256" s="46" t="n">
        <v>0.2</v>
      </c>
      <c r="G256" s="45" t="n">
        <v>0</v>
      </c>
      <c r="I256" s="44">
        <f>I255-$K$2*T255</f>
        <v/>
      </c>
      <c r="J256" s="46">
        <f>J255-$K$2*U255</f>
        <v/>
      </c>
      <c r="K256" s="46">
        <f>K255-$K$2*V255</f>
        <v/>
      </c>
      <c r="L256" s="46">
        <f>L255-$K$2*W255</f>
        <v/>
      </c>
      <c r="M256" s="46">
        <f>M255-$K$2*X255</f>
        <v/>
      </c>
      <c r="N256" s="46">
        <f>I256+J256*C256+K256*D256+L256*E256+F256*M256</f>
        <v/>
      </c>
      <c r="O256" s="46">
        <f>1/(1+EXP(-N256))</f>
        <v/>
      </c>
      <c r="P256" s="47">
        <f>IF(O256&gt;0.5,1,0)</f>
        <v/>
      </c>
      <c r="Q256" s="47">
        <f>O256-G256</f>
        <v/>
      </c>
      <c r="R256" s="48">
        <f>Q256^2</f>
        <v/>
      </c>
      <c r="S256">
        <f>IF(P256=G256,1,0)</f>
        <v/>
      </c>
      <c r="T256">
        <f>2*(O256-G256)*(1-O256)*O256</f>
        <v/>
      </c>
      <c r="U256">
        <f>2*(O256-G256)*(1-O256)*O256*C256</f>
        <v/>
      </c>
      <c r="V256">
        <f>2*(O256-G256)*(1-O256)*O256*D256</f>
        <v/>
      </c>
      <c r="W256">
        <f>2*(O256-G256)*(1-O256)*O256*E256</f>
        <v/>
      </c>
      <c r="X256">
        <f>2*(O256-G256)*(1-O256)*O256*F256</f>
        <v/>
      </c>
    </row>
    <row r="257" ht="14.25" customHeight="1" s="96">
      <c r="B257" s="44" t="n">
        <v>13</v>
      </c>
      <c r="C257" s="78" t="n">
        <v>4.8</v>
      </c>
      <c r="D257" s="46" t="n">
        <v>3</v>
      </c>
      <c r="E257" s="46" t="n">
        <v>1.4</v>
      </c>
      <c r="F257" s="46" t="n">
        <v>0.1</v>
      </c>
      <c r="G257" s="45" t="n">
        <v>0</v>
      </c>
      <c r="I257" s="44">
        <f>I256-$K$2*T256</f>
        <v/>
      </c>
      <c r="J257" s="46">
        <f>J256-$K$2*U256</f>
        <v/>
      </c>
      <c r="K257" s="46">
        <f>K256-$K$2*V256</f>
        <v/>
      </c>
      <c r="L257" s="46">
        <f>L256-$K$2*W256</f>
        <v/>
      </c>
      <c r="M257" s="46">
        <f>M256-$K$2*X256</f>
        <v/>
      </c>
      <c r="N257" s="46">
        <f>I257+J257*C257+K257*D257+L257*E257+F257*M257</f>
        <v/>
      </c>
      <c r="O257" s="46">
        <f>1/(1+EXP(-N257))</f>
        <v/>
      </c>
      <c r="P257" s="47">
        <f>IF(O257&gt;0.5,1,0)</f>
        <v/>
      </c>
      <c r="Q257" s="47">
        <f>O257-G257</f>
        <v/>
      </c>
      <c r="R257" s="48">
        <f>Q257^2</f>
        <v/>
      </c>
      <c r="S257">
        <f>IF(P257=G257,1,0)</f>
        <v/>
      </c>
      <c r="T257">
        <f>2*(O257-G257)*(1-O257)*O257</f>
        <v/>
      </c>
      <c r="U257">
        <f>2*(O257-G257)*(1-O257)*O257*C257</f>
        <v/>
      </c>
      <c r="V257">
        <f>2*(O257-G257)*(1-O257)*O257*D257</f>
        <v/>
      </c>
      <c r="W257">
        <f>2*(O257-G257)*(1-O257)*O257*E257</f>
        <v/>
      </c>
      <c r="X257">
        <f>2*(O257-G257)*(1-O257)*O257*F257</f>
        <v/>
      </c>
    </row>
    <row r="258" ht="14.25" customHeight="1" s="96">
      <c r="B258" s="44" t="n">
        <v>14</v>
      </c>
      <c r="C258" s="78" t="n">
        <v>4.3</v>
      </c>
      <c r="D258" s="46" t="n">
        <v>3</v>
      </c>
      <c r="E258" s="46" t="n">
        <v>1.1</v>
      </c>
      <c r="F258" s="46" t="n">
        <v>0.1</v>
      </c>
      <c r="G258" s="45" t="n">
        <v>0</v>
      </c>
      <c r="I258" s="44">
        <f>I257-$K$2*T257</f>
        <v/>
      </c>
      <c r="J258" s="46">
        <f>J257-$K$2*U257</f>
        <v/>
      </c>
      <c r="K258" s="46">
        <f>K257-$K$2*V257</f>
        <v/>
      </c>
      <c r="L258" s="46">
        <f>L257-$K$2*W257</f>
        <v/>
      </c>
      <c r="M258" s="46">
        <f>M257-$K$2*X257</f>
        <v/>
      </c>
      <c r="N258" s="46">
        <f>I258+J258*C258+K258*D258+L258*E258+F258*M258</f>
        <v/>
      </c>
      <c r="O258" s="46">
        <f>1/(1+EXP(-N258))</f>
        <v/>
      </c>
      <c r="P258" s="47">
        <f>IF(O258&gt;0.5,1,0)</f>
        <v/>
      </c>
      <c r="Q258" s="47">
        <f>O258-G258</f>
        <v/>
      </c>
      <c r="R258" s="48">
        <f>Q258^2</f>
        <v/>
      </c>
      <c r="S258">
        <f>IF(P258=G258,1,0)</f>
        <v/>
      </c>
      <c r="T258">
        <f>2*(O258-G258)*(1-O258)*O258</f>
        <v/>
      </c>
      <c r="U258">
        <f>2*(O258-G258)*(1-O258)*O258*C258</f>
        <v/>
      </c>
      <c r="V258">
        <f>2*(O258-G258)*(1-O258)*O258*D258</f>
        <v/>
      </c>
      <c r="W258">
        <f>2*(O258-G258)*(1-O258)*O258*E258</f>
        <v/>
      </c>
      <c r="X258">
        <f>2*(O258-G258)*(1-O258)*O258*F258</f>
        <v/>
      </c>
    </row>
    <row r="259" ht="14.25" customHeight="1" s="96">
      <c r="B259" s="44" t="n">
        <v>15</v>
      </c>
      <c r="C259" s="78" t="n">
        <v>5.8</v>
      </c>
      <c r="D259" s="46" t="n">
        <v>4</v>
      </c>
      <c r="E259" s="46" t="n">
        <v>1.2</v>
      </c>
      <c r="F259" s="46" t="n">
        <v>0.2</v>
      </c>
      <c r="G259" s="45" t="n">
        <v>0</v>
      </c>
      <c r="I259" s="44">
        <f>I258-$K$2*T258</f>
        <v/>
      </c>
      <c r="J259" s="46">
        <f>J258-$K$2*U258</f>
        <v/>
      </c>
      <c r="K259" s="46">
        <f>K258-$K$2*V258</f>
        <v/>
      </c>
      <c r="L259" s="46">
        <f>L258-$K$2*W258</f>
        <v/>
      </c>
      <c r="M259" s="46">
        <f>M258-$K$2*X258</f>
        <v/>
      </c>
      <c r="N259" s="46">
        <f>I259+J259*C259+K259*D259+L259*E259+F259*M259</f>
        <v/>
      </c>
      <c r="O259" s="46">
        <f>1/(1+EXP(-N259))</f>
        <v/>
      </c>
      <c r="P259" s="47">
        <f>IF(O259&gt;0.5,1,0)</f>
        <v/>
      </c>
      <c r="Q259" s="47">
        <f>O259-G259</f>
        <v/>
      </c>
      <c r="R259" s="48">
        <f>Q259^2</f>
        <v/>
      </c>
      <c r="S259">
        <f>IF(P259=G259,1,0)</f>
        <v/>
      </c>
      <c r="T259">
        <f>2*(O259-G259)*(1-O259)*O259</f>
        <v/>
      </c>
      <c r="U259">
        <f>2*(O259-G259)*(1-O259)*O259*C259</f>
        <v/>
      </c>
      <c r="V259">
        <f>2*(O259-G259)*(1-O259)*O259*D259</f>
        <v/>
      </c>
      <c r="W259">
        <f>2*(O259-G259)*(1-O259)*O259*E259</f>
        <v/>
      </c>
      <c r="X259">
        <f>2*(O259-G259)*(1-O259)*O259*F259</f>
        <v/>
      </c>
    </row>
    <row r="260" ht="14.25" customHeight="1" s="96">
      <c r="B260" s="44" t="n">
        <v>16</v>
      </c>
      <c r="C260" s="78" t="n">
        <v>5.7</v>
      </c>
      <c r="D260" s="46" t="n">
        <v>4.4</v>
      </c>
      <c r="E260" s="46" t="n">
        <v>1.5</v>
      </c>
      <c r="F260" s="46" t="n">
        <v>0.4</v>
      </c>
      <c r="G260" s="45" t="n">
        <v>0</v>
      </c>
      <c r="I260" s="44">
        <f>I259-$K$2*T259</f>
        <v/>
      </c>
      <c r="J260" s="46">
        <f>J259-$K$2*U259</f>
        <v/>
      </c>
      <c r="K260" s="46">
        <f>K259-$K$2*V259</f>
        <v/>
      </c>
      <c r="L260" s="46">
        <f>L259-$K$2*W259</f>
        <v/>
      </c>
      <c r="M260" s="46">
        <f>M259-$K$2*X259</f>
        <v/>
      </c>
      <c r="N260" s="46">
        <f>I260+J260*C260+K260*D260+L260*E260+F260*M260</f>
        <v/>
      </c>
      <c r="O260" s="46">
        <f>1/(1+EXP(-N260))</f>
        <v/>
      </c>
      <c r="P260" s="47">
        <f>IF(O260&gt;0.5,1,0)</f>
        <v/>
      </c>
      <c r="Q260" s="47">
        <f>O260-G260</f>
        <v/>
      </c>
      <c r="R260" s="48">
        <f>Q260^2</f>
        <v/>
      </c>
      <c r="S260">
        <f>IF(P260=G260,1,0)</f>
        <v/>
      </c>
      <c r="T260">
        <f>2*(O260-G260)*(1-O260)*O260</f>
        <v/>
      </c>
      <c r="U260">
        <f>2*(O260-G260)*(1-O260)*O260*C260</f>
        <v/>
      </c>
      <c r="V260">
        <f>2*(O260-G260)*(1-O260)*O260*D260</f>
        <v/>
      </c>
      <c r="W260">
        <f>2*(O260-G260)*(1-O260)*O260*E260</f>
        <v/>
      </c>
      <c r="X260">
        <f>2*(O260-G260)*(1-O260)*O260*F260</f>
        <v/>
      </c>
    </row>
    <row r="261" ht="14.25" customHeight="1" s="96">
      <c r="B261" s="44" t="n">
        <v>17</v>
      </c>
      <c r="C261" s="78" t="n">
        <v>5.4</v>
      </c>
      <c r="D261" s="46" t="n">
        <v>3.9</v>
      </c>
      <c r="E261" s="46" t="n">
        <v>1.3</v>
      </c>
      <c r="F261" s="46" t="n">
        <v>0.4</v>
      </c>
      <c r="G261" s="45" t="n">
        <v>0</v>
      </c>
      <c r="I261" s="44">
        <f>I260-$K$2*T260</f>
        <v/>
      </c>
      <c r="J261" s="46">
        <f>J260-$K$2*U260</f>
        <v/>
      </c>
      <c r="K261" s="46">
        <f>K260-$K$2*V260</f>
        <v/>
      </c>
      <c r="L261" s="46">
        <f>L260-$K$2*W260</f>
        <v/>
      </c>
      <c r="M261" s="46">
        <f>M260-$K$2*X260</f>
        <v/>
      </c>
      <c r="N261" s="46">
        <f>I261+J261*C261+K261*D261+L261*E261+F261*M261</f>
        <v/>
      </c>
      <c r="O261" s="46">
        <f>1/(1+EXP(-N261))</f>
        <v/>
      </c>
      <c r="P261" s="47">
        <f>IF(O261&gt;0.5,1,0)</f>
        <v/>
      </c>
      <c r="Q261" s="47">
        <f>O261-G261</f>
        <v/>
      </c>
      <c r="R261" s="48">
        <f>Q261^2</f>
        <v/>
      </c>
      <c r="S261">
        <f>IF(P261=G261,1,0)</f>
        <v/>
      </c>
      <c r="T261">
        <f>2*(O261-G261)*(1-O261)*O261</f>
        <v/>
      </c>
      <c r="U261">
        <f>2*(O261-G261)*(1-O261)*O261*C261</f>
        <v/>
      </c>
      <c r="V261">
        <f>2*(O261-G261)*(1-O261)*O261*D261</f>
        <v/>
      </c>
      <c r="W261">
        <f>2*(O261-G261)*(1-O261)*O261*E261</f>
        <v/>
      </c>
      <c r="X261">
        <f>2*(O261-G261)*(1-O261)*O261*F261</f>
        <v/>
      </c>
    </row>
    <row r="262" ht="14.25" customHeight="1" s="96">
      <c r="B262" s="44" t="n">
        <v>18</v>
      </c>
      <c r="C262" s="78" t="n">
        <v>5.1</v>
      </c>
      <c r="D262" s="46" t="n">
        <v>3.5</v>
      </c>
      <c r="E262" s="46" t="n">
        <v>1.4</v>
      </c>
      <c r="F262" s="46" t="n">
        <v>0.3</v>
      </c>
      <c r="G262" s="45" t="n">
        <v>0</v>
      </c>
      <c r="I262" s="44">
        <f>I261-$K$2*T261</f>
        <v/>
      </c>
      <c r="J262" s="46">
        <f>J261-$K$2*U261</f>
        <v/>
      </c>
      <c r="K262" s="46">
        <f>K261-$K$2*V261</f>
        <v/>
      </c>
      <c r="L262" s="46">
        <f>L261-$K$2*W261</f>
        <v/>
      </c>
      <c r="M262" s="46">
        <f>M261-$K$2*X261</f>
        <v/>
      </c>
      <c r="N262" s="46">
        <f>I262+J262*C262+K262*D262+L262*E262+F262*M262</f>
        <v/>
      </c>
      <c r="O262" s="46">
        <f>1/(1+EXP(-N262))</f>
        <v/>
      </c>
      <c r="P262" s="47">
        <f>IF(O262&gt;0.5,1,0)</f>
        <v/>
      </c>
      <c r="Q262" s="47">
        <f>O262-G262</f>
        <v/>
      </c>
      <c r="R262" s="48">
        <f>Q262^2</f>
        <v/>
      </c>
      <c r="S262">
        <f>IF(P262=G262,1,0)</f>
        <v/>
      </c>
      <c r="T262">
        <f>2*(O262-G262)*(1-O262)*O262</f>
        <v/>
      </c>
      <c r="U262">
        <f>2*(O262-G262)*(1-O262)*O262*C262</f>
        <v/>
      </c>
      <c r="V262">
        <f>2*(O262-G262)*(1-O262)*O262*D262</f>
        <v/>
      </c>
      <c r="W262">
        <f>2*(O262-G262)*(1-O262)*O262*E262</f>
        <v/>
      </c>
      <c r="X262">
        <f>2*(O262-G262)*(1-O262)*O262*F262</f>
        <v/>
      </c>
    </row>
    <row r="263" ht="14.25" customHeight="1" s="96">
      <c r="B263" s="44" t="n">
        <v>19</v>
      </c>
      <c r="C263" s="78" t="n">
        <v>5.7</v>
      </c>
      <c r="D263" s="46" t="n">
        <v>3.8</v>
      </c>
      <c r="E263" s="46" t="n">
        <v>1.7</v>
      </c>
      <c r="F263" s="46" t="n">
        <v>0.3</v>
      </c>
      <c r="G263" s="45" t="n">
        <v>0</v>
      </c>
      <c r="I263" s="44">
        <f>I262-$K$2*T262</f>
        <v/>
      </c>
      <c r="J263" s="46">
        <f>J262-$K$2*U262</f>
        <v/>
      </c>
      <c r="K263" s="46">
        <f>K262-$K$2*V262</f>
        <v/>
      </c>
      <c r="L263" s="46">
        <f>L262-$K$2*W262</f>
        <v/>
      </c>
      <c r="M263" s="46">
        <f>M262-$K$2*X262</f>
        <v/>
      </c>
      <c r="N263" s="46">
        <f>I263+J263*C263+K263*D263+L263*E263+F263*M263</f>
        <v/>
      </c>
      <c r="O263" s="46">
        <f>1/(1+EXP(-N263))</f>
        <v/>
      </c>
      <c r="P263" s="47">
        <f>IF(O263&gt;0.5,1,0)</f>
        <v/>
      </c>
      <c r="Q263" s="47">
        <f>O263-G263</f>
        <v/>
      </c>
      <c r="R263" s="48">
        <f>Q263^2</f>
        <v/>
      </c>
      <c r="S263">
        <f>IF(P263=G263,1,0)</f>
        <v/>
      </c>
      <c r="T263">
        <f>2*(O263-G263)*(1-O263)*O263</f>
        <v/>
      </c>
      <c r="U263">
        <f>2*(O263-G263)*(1-O263)*O263*C263</f>
        <v/>
      </c>
      <c r="V263">
        <f>2*(O263-G263)*(1-O263)*O263*D263</f>
        <v/>
      </c>
      <c r="W263">
        <f>2*(O263-G263)*(1-O263)*O263*E263</f>
        <v/>
      </c>
      <c r="X263">
        <f>2*(O263-G263)*(1-O263)*O263*F263</f>
        <v/>
      </c>
    </row>
    <row r="264" ht="14.25" customHeight="1" s="96">
      <c r="B264" s="44" t="n">
        <v>20</v>
      </c>
      <c r="C264" s="78" t="n">
        <v>5.1</v>
      </c>
      <c r="D264" s="46" t="n">
        <v>3.8</v>
      </c>
      <c r="E264" s="46" t="n">
        <v>1.5</v>
      </c>
      <c r="F264" s="46" t="n">
        <v>0.3</v>
      </c>
      <c r="G264" s="45" t="n">
        <v>0</v>
      </c>
      <c r="I264" s="44">
        <f>I263-$K$2*T263</f>
        <v/>
      </c>
      <c r="J264" s="46">
        <f>J263-$K$2*U263</f>
        <v/>
      </c>
      <c r="K264" s="46">
        <f>K263-$K$2*V263</f>
        <v/>
      </c>
      <c r="L264" s="46">
        <f>L263-$K$2*W263</f>
        <v/>
      </c>
      <c r="M264" s="46">
        <f>M263-$K$2*X263</f>
        <v/>
      </c>
      <c r="N264" s="46">
        <f>I264+J264*C264+K264*D264+L264*E264+F264*M264</f>
        <v/>
      </c>
      <c r="O264" s="46">
        <f>1/(1+EXP(-N264))</f>
        <v/>
      </c>
      <c r="P264" s="47">
        <f>IF(O264&gt;0.5,1,0)</f>
        <v/>
      </c>
      <c r="Q264" s="47">
        <f>O264-G264</f>
        <v/>
      </c>
      <c r="R264" s="48">
        <f>Q264^2</f>
        <v/>
      </c>
      <c r="S264">
        <f>IF(P264=G264,1,0)</f>
        <v/>
      </c>
      <c r="T264">
        <f>2*(O264-G264)*(1-O264)*O264</f>
        <v/>
      </c>
      <c r="U264">
        <f>2*(O264-G264)*(1-O264)*O264*C264</f>
        <v/>
      </c>
      <c r="V264">
        <f>2*(O264-G264)*(1-O264)*O264*D264</f>
        <v/>
      </c>
      <c r="W264">
        <f>2*(O264-G264)*(1-O264)*O264*E264</f>
        <v/>
      </c>
      <c r="X264">
        <f>2*(O264-G264)*(1-O264)*O264*F264</f>
        <v/>
      </c>
    </row>
    <row r="265" ht="14.25" customHeight="1" s="96">
      <c r="B265" s="44" t="n">
        <v>21</v>
      </c>
      <c r="C265" s="78" t="n">
        <v>5.4</v>
      </c>
      <c r="D265" s="46" t="n">
        <v>3.4</v>
      </c>
      <c r="E265" s="46" t="n">
        <v>1.7</v>
      </c>
      <c r="F265" s="46" t="n">
        <v>0.2</v>
      </c>
      <c r="G265" s="45" t="n">
        <v>0</v>
      </c>
      <c r="I265" s="44">
        <f>I264-$K$2*T264</f>
        <v/>
      </c>
      <c r="J265" s="46">
        <f>J264-$K$2*U264</f>
        <v/>
      </c>
      <c r="K265" s="46">
        <f>K264-$K$2*V264</f>
        <v/>
      </c>
      <c r="L265" s="46">
        <f>L264-$K$2*W264</f>
        <v/>
      </c>
      <c r="M265" s="46">
        <f>M264-$K$2*X264</f>
        <v/>
      </c>
      <c r="N265" s="46">
        <f>I265+J265*C265+K265*D265+L265*E265+F265*M265</f>
        <v/>
      </c>
      <c r="O265" s="46">
        <f>1/(1+EXP(-N265))</f>
        <v/>
      </c>
      <c r="P265" s="47">
        <f>IF(O265&gt;0.5,1,0)</f>
        <v/>
      </c>
      <c r="Q265" s="47">
        <f>O265-G265</f>
        <v/>
      </c>
      <c r="R265" s="48">
        <f>Q265^2</f>
        <v/>
      </c>
      <c r="S265">
        <f>IF(P265=G265,1,0)</f>
        <v/>
      </c>
      <c r="T265">
        <f>2*(O265-G265)*(1-O265)*O265</f>
        <v/>
      </c>
      <c r="U265">
        <f>2*(O265-G265)*(1-O265)*O265*C265</f>
        <v/>
      </c>
      <c r="V265">
        <f>2*(O265-G265)*(1-O265)*O265*D265</f>
        <v/>
      </c>
      <c r="W265">
        <f>2*(O265-G265)*(1-O265)*O265*E265</f>
        <v/>
      </c>
      <c r="X265">
        <f>2*(O265-G265)*(1-O265)*O265*F265</f>
        <v/>
      </c>
    </row>
    <row r="266" ht="14.25" customHeight="1" s="96">
      <c r="B266" s="44" t="n">
        <v>22</v>
      </c>
      <c r="C266" s="78" t="n">
        <v>5.1</v>
      </c>
      <c r="D266" s="46" t="n">
        <v>3.7</v>
      </c>
      <c r="E266" s="46" t="n">
        <v>1.5</v>
      </c>
      <c r="F266" s="46" t="n">
        <v>0.4</v>
      </c>
      <c r="G266" s="45" t="n">
        <v>0</v>
      </c>
      <c r="I266" s="44">
        <f>I265-$K$2*T265</f>
        <v/>
      </c>
      <c r="J266" s="46">
        <f>J265-$K$2*U265</f>
        <v/>
      </c>
      <c r="K266" s="46">
        <f>K265-$K$2*V265</f>
        <v/>
      </c>
      <c r="L266" s="46">
        <f>L265-$K$2*W265</f>
        <v/>
      </c>
      <c r="M266" s="46">
        <f>M265-$K$2*X265</f>
        <v/>
      </c>
      <c r="N266" s="46">
        <f>I266+J266*C266+K266*D266+L266*E266+F266*M266</f>
        <v/>
      </c>
      <c r="O266" s="46">
        <f>1/(1+EXP(-N266))</f>
        <v/>
      </c>
      <c r="P266" s="47">
        <f>IF(O266&gt;0.5,1,0)</f>
        <v/>
      </c>
      <c r="Q266" s="47">
        <f>O266-G266</f>
        <v/>
      </c>
      <c r="R266" s="48">
        <f>Q266^2</f>
        <v/>
      </c>
      <c r="S266">
        <f>IF(P266=G266,1,0)</f>
        <v/>
      </c>
      <c r="T266">
        <f>2*(O266-G266)*(1-O266)*O266</f>
        <v/>
      </c>
      <c r="U266">
        <f>2*(O266-G266)*(1-O266)*O266*C266</f>
        <v/>
      </c>
      <c r="V266">
        <f>2*(O266-G266)*(1-O266)*O266*D266</f>
        <v/>
      </c>
      <c r="W266">
        <f>2*(O266-G266)*(1-O266)*O266*E266</f>
        <v/>
      </c>
      <c r="X266">
        <f>2*(O266-G266)*(1-O266)*O266*F266</f>
        <v/>
      </c>
    </row>
    <row r="267" ht="14.25" customHeight="1" s="96">
      <c r="B267" s="44" t="n">
        <v>23</v>
      </c>
      <c r="C267" s="78" t="n">
        <v>4.6</v>
      </c>
      <c r="D267" s="46" t="n">
        <v>3.6</v>
      </c>
      <c r="E267" s="46" t="n">
        <v>1</v>
      </c>
      <c r="F267" s="46" t="n">
        <v>0.2</v>
      </c>
      <c r="G267" s="45" t="n">
        <v>0</v>
      </c>
      <c r="I267" s="44">
        <f>I266-$K$2*T266</f>
        <v/>
      </c>
      <c r="J267" s="46">
        <f>J266-$K$2*U266</f>
        <v/>
      </c>
      <c r="K267" s="46">
        <f>K266-$K$2*V266</f>
        <v/>
      </c>
      <c r="L267" s="46">
        <f>L266-$K$2*W266</f>
        <v/>
      </c>
      <c r="M267" s="46">
        <f>M266-$K$2*X266</f>
        <v/>
      </c>
      <c r="N267" s="46">
        <f>I267+J267*C267+K267*D267+L267*E267+F267*M267</f>
        <v/>
      </c>
      <c r="O267" s="46">
        <f>1/(1+EXP(-N267))</f>
        <v/>
      </c>
      <c r="P267" s="47">
        <f>IF(O267&gt;0.5,1,0)</f>
        <v/>
      </c>
      <c r="Q267" s="47">
        <f>O267-G267</f>
        <v/>
      </c>
      <c r="R267" s="48">
        <f>Q267^2</f>
        <v/>
      </c>
      <c r="S267">
        <f>IF(P267=G267,1,0)</f>
        <v/>
      </c>
      <c r="T267">
        <f>2*(O267-G267)*(1-O267)*O267</f>
        <v/>
      </c>
      <c r="U267">
        <f>2*(O267-G267)*(1-O267)*O267*C267</f>
        <v/>
      </c>
      <c r="V267">
        <f>2*(O267-G267)*(1-O267)*O267*D267</f>
        <v/>
      </c>
      <c r="W267">
        <f>2*(O267-G267)*(1-O267)*O267*E267</f>
        <v/>
      </c>
      <c r="X267">
        <f>2*(O267-G267)*(1-O267)*O267*F267</f>
        <v/>
      </c>
    </row>
    <row r="268" ht="14.25" customHeight="1" s="96">
      <c r="B268" s="44" t="n">
        <v>24</v>
      </c>
      <c r="C268" s="78" t="n">
        <v>5.1</v>
      </c>
      <c r="D268" s="46" t="n">
        <v>3.3</v>
      </c>
      <c r="E268" s="46" t="n">
        <v>1.7</v>
      </c>
      <c r="F268" s="46" t="n">
        <v>0.5</v>
      </c>
      <c r="G268" s="45" t="n">
        <v>0</v>
      </c>
      <c r="I268" s="44">
        <f>I267-$K$2*T267</f>
        <v/>
      </c>
      <c r="J268" s="46">
        <f>J267-$K$2*U267</f>
        <v/>
      </c>
      <c r="K268" s="46">
        <f>K267-$K$2*V267</f>
        <v/>
      </c>
      <c r="L268" s="46">
        <f>L267-$K$2*W267</f>
        <v/>
      </c>
      <c r="M268" s="46">
        <f>M267-$K$2*X267</f>
        <v/>
      </c>
      <c r="N268" s="46">
        <f>I268+J268*C268+K268*D268+L268*E268+F268*M268</f>
        <v/>
      </c>
      <c r="O268" s="46">
        <f>1/(1+EXP(-N268))</f>
        <v/>
      </c>
      <c r="P268" s="47">
        <f>IF(O268&gt;0.5,1,0)</f>
        <v/>
      </c>
      <c r="Q268" s="47">
        <f>O268-G268</f>
        <v/>
      </c>
      <c r="R268" s="48">
        <f>Q268^2</f>
        <v/>
      </c>
      <c r="S268">
        <f>IF(P268=G268,1,0)</f>
        <v/>
      </c>
      <c r="T268">
        <f>2*(O268-G268)*(1-O268)*O268</f>
        <v/>
      </c>
      <c r="U268">
        <f>2*(O268-G268)*(1-O268)*O268*C268</f>
        <v/>
      </c>
      <c r="V268">
        <f>2*(O268-G268)*(1-O268)*O268*D268</f>
        <v/>
      </c>
      <c r="W268">
        <f>2*(O268-G268)*(1-O268)*O268*E268</f>
        <v/>
      </c>
      <c r="X268">
        <f>2*(O268-G268)*(1-O268)*O268*F268</f>
        <v/>
      </c>
    </row>
    <row r="269" ht="14.25" customHeight="1" s="96">
      <c r="B269" s="44" t="n">
        <v>25</v>
      </c>
      <c r="C269" s="78" t="n">
        <v>4.8</v>
      </c>
      <c r="D269" s="46" t="n">
        <v>3.4</v>
      </c>
      <c r="E269" s="46" t="n">
        <v>1.9</v>
      </c>
      <c r="F269" s="46" t="n">
        <v>0.2</v>
      </c>
      <c r="G269" s="45" t="n">
        <v>0</v>
      </c>
      <c r="I269" s="44">
        <f>I268-$K$2*T268</f>
        <v/>
      </c>
      <c r="J269" s="46">
        <f>J268-$K$2*U268</f>
        <v/>
      </c>
      <c r="K269" s="46">
        <f>K268-$K$2*V268</f>
        <v/>
      </c>
      <c r="L269" s="46">
        <f>L268-$K$2*W268</f>
        <v/>
      </c>
      <c r="M269" s="46">
        <f>M268-$K$2*X268</f>
        <v/>
      </c>
      <c r="N269" s="46">
        <f>I269+J269*C269+K269*D269+L269*E269+F269*M269</f>
        <v/>
      </c>
      <c r="O269" s="46">
        <f>1/(1+EXP(-N269))</f>
        <v/>
      </c>
      <c r="P269" s="47">
        <f>IF(O269&gt;0.5,1,0)</f>
        <v/>
      </c>
      <c r="Q269" s="47">
        <f>O269-G269</f>
        <v/>
      </c>
      <c r="R269" s="48">
        <f>Q269^2</f>
        <v/>
      </c>
      <c r="S269">
        <f>IF(P269=G269,1,0)</f>
        <v/>
      </c>
      <c r="T269">
        <f>2*(O269-G269)*(1-O269)*O269</f>
        <v/>
      </c>
      <c r="U269">
        <f>2*(O269-G269)*(1-O269)*O269*C269</f>
        <v/>
      </c>
      <c r="V269">
        <f>2*(O269-G269)*(1-O269)*O269*D269</f>
        <v/>
      </c>
      <c r="W269">
        <f>2*(O269-G269)*(1-O269)*O269*E269</f>
        <v/>
      </c>
      <c r="X269">
        <f>2*(O269-G269)*(1-O269)*O269*F269</f>
        <v/>
      </c>
    </row>
    <row r="270" ht="14.25" customHeight="1" s="96">
      <c r="B270" s="44" t="n">
        <v>26</v>
      </c>
      <c r="C270" s="78" t="n">
        <v>5</v>
      </c>
      <c r="D270" s="46" t="n">
        <v>3</v>
      </c>
      <c r="E270" s="46" t="n">
        <v>1.6</v>
      </c>
      <c r="F270" s="46" t="n">
        <v>0.2</v>
      </c>
      <c r="G270" s="45" t="n">
        <v>0</v>
      </c>
      <c r="I270" s="44">
        <f>I269-$K$2*T269</f>
        <v/>
      </c>
      <c r="J270" s="46">
        <f>J269-$K$2*U269</f>
        <v/>
      </c>
      <c r="K270" s="46">
        <f>K269-$K$2*V269</f>
        <v/>
      </c>
      <c r="L270" s="46">
        <f>L269-$K$2*W269</f>
        <v/>
      </c>
      <c r="M270" s="46">
        <f>M269-$K$2*X269</f>
        <v/>
      </c>
      <c r="N270" s="46">
        <f>I270+J270*C270+K270*D270+L270*E270+F270*M270</f>
        <v/>
      </c>
      <c r="O270" s="46">
        <f>1/(1+EXP(-N270))</f>
        <v/>
      </c>
      <c r="P270" s="47">
        <f>IF(O270&gt;0.5,1,0)</f>
        <v/>
      </c>
      <c r="Q270" s="47">
        <f>O270-G270</f>
        <v/>
      </c>
      <c r="R270" s="48">
        <f>Q270^2</f>
        <v/>
      </c>
      <c r="S270">
        <f>IF(P270=G270,1,0)</f>
        <v/>
      </c>
      <c r="T270">
        <f>2*(O270-G270)*(1-O270)*O270</f>
        <v/>
      </c>
      <c r="U270">
        <f>2*(O270-G270)*(1-O270)*O270*C270</f>
        <v/>
      </c>
      <c r="V270">
        <f>2*(O270-G270)*(1-O270)*O270*D270</f>
        <v/>
      </c>
      <c r="W270">
        <f>2*(O270-G270)*(1-O270)*O270*E270</f>
        <v/>
      </c>
      <c r="X270">
        <f>2*(O270-G270)*(1-O270)*O270*F270</f>
        <v/>
      </c>
    </row>
    <row r="271" ht="14.25" customHeight="1" s="96">
      <c r="B271" s="44" t="n">
        <v>27</v>
      </c>
      <c r="C271" s="78" t="n">
        <v>5</v>
      </c>
      <c r="D271" s="46" t="n">
        <v>3.4</v>
      </c>
      <c r="E271" s="46" t="n">
        <v>1.6</v>
      </c>
      <c r="F271" s="46" t="n">
        <v>0.4</v>
      </c>
      <c r="G271" s="45" t="n">
        <v>0</v>
      </c>
      <c r="I271" s="44">
        <f>I270-$K$2*T270</f>
        <v/>
      </c>
      <c r="J271" s="46">
        <f>J270-$K$2*U270</f>
        <v/>
      </c>
      <c r="K271" s="46">
        <f>K270-$K$2*V270</f>
        <v/>
      </c>
      <c r="L271" s="46">
        <f>L270-$K$2*W270</f>
        <v/>
      </c>
      <c r="M271" s="46">
        <f>M270-$K$2*X270</f>
        <v/>
      </c>
      <c r="N271" s="46">
        <f>I271+J271*C271+K271*D271+L271*E271+F271*M271</f>
        <v/>
      </c>
      <c r="O271" s="46">
        <f>1/(1+EXP(-N271))</f>
        <v/>
      </c>
      <c r="P271" s="47">
        <f>IF(O271&gt;0.5,1,0)</f>
        <v/>
      </c>
      <c r="Q271" s="47">
        <f>O271-G271</f>
        <v/>
      </c>
      <c r="R271" s="48">
        <f>Q271^2</f>
        <v/>
      </c>
      <c r="S271">
        <f>IF(P271=G271,1,0)</f>
        <v/>
      </c>
      <c r="T271">
        <f>2*(O271-G271)*(1-O271)*O271</f>
        <v/>
      </c>
      <c r="U271">
        <f>2*(O271-G271)*(1-O271)*O271*C271</f>
        <v/>
      </c>
      <c r="V271">
        <f>2*(O271-G271)*(1-O271)*O271*D271</f>
        <v/>
      </c>
      <c r="W271">
        <f>2*(O271-G271)*(1-O271)*O271*E271</f>
        <v/>
      </c>
      <c r="X271">
        <f>2*(O271-G271)*(1-O271)*O271*F271</f>
        <v/>
      </c>
    </row>
    <row r="272" ht="14.25" customHeight="1" s="96">
      <c r="B272" s="44" t="n">
        <v>28</v>
      </c>
      <c r="C272" s="78" t="n">
        <v>5.2</v>
      </c>
      <c r="D272" s="46" t="n">
        <v>3.5</v>
      </c>
      <c r="E272" s="46" t="n">
        <v>1.5</v>
      </c>
      <c r="F272" s="46" t="n">
        <v>0.2</v>
      </c>
      <c r="G272" s="45" t="n">
        <v>0</v>
      </c>
      <c r="I272" s="44">
        <f>I271-$K$2*T271</f>
        <v/>
      </c>
      <c r="J272" s="46">
        <f>J271-$K$2*U271</f>
        <v/>
      </c>
      <c r="K272" s="46">
        <f>K271-$K$2*V271</f>
        <v/>
      </c>
      <c r="L272" s="46">
        <f>L271-$K$2*W271</f>
        <v/>
      </c>
      <c r="M272" s="46">
        <f>M271-$K$2*X271</f>
        <v/>
      </c>
      <c r="N272" s="46">
        <f>I272+J272*C272+K272*D272+L272*E272+F272*M272</f>
        <v/>
      </c>
      <c r="O272" s="46">
        <f>1/(1+EXP(-N272))</f>
        <v/>
      </c>
      <c r="P272" s="47">
        <f>IF(O272&gt;0.5,1,0)</f>
        <v/>
      </c>
      <c r="Q272" s="47">
        <f>O272-G272</f>
        <v/>
      </c>
      <c r="R272" s="48">
        <f>Q272^2</f>
        <v/>
      </c>
      <c r="S272">
        <f>IF(P272=G272,1,0)</f>
        <v/>
      </c>
      <c r="T272">
        <f>2*(O272-G272)*(1-O272)*O272</f>
        <v/>
      </c>
      <c r="U272">
        <f>2*(O272-G272)*(1-O272)*O272*C272</f>
        <v/>
      </c>
      <c r="V272">
        <f>2*(O272-G272)*(1-O272)*O272*D272</f>
        <v/>
      </c>
      <c r="W272">
        <f>2*(O272-G272)*(1-O272)*O272*E272</f>
        <v/>
      </c>
      <c r="X272">
        <f>2*(O272-G272)*(1-O272)*O272*F272</f>
        <v/>
      </c>
    </row>
    <row r="273" ht="14.25" customHeight="1" s="96">
      <c r="B273" s="44" t="n">
        <v>29</v>
      </c>
      <c r="C273" s="78" t="n">
        <v>5.2</v>
      </c>
      <c r="D273" s="46" t="n">
        <v>3.4</v>
      </c>
      <c r="E273" s="46" t="n">
        <v>1.4</v>
      </c>
      <c r="F273" s="46" t="n">
        <v>0.2</v>
      </c>
      <c r="G273" s="45" t="n">
        <v>0</v>
      </c>
      <c r="I273" s="44">
        <f>I272-$K$2*T272</f>
        <v/>
      </c>
      <c r="J273" s="46">
        <f>J272-$K$2*U272</f>
        <v/>
      </c>
      <c r="K273" s="46">
        <f>K272-$K$2*V272</f>
        <v/>
      </c>
      <c r="L273" s="46">
        <f>L272-$K$2*W272</f>
        <v/>
      </c>
      <c r="M273" s="46">
        <f>M272-$K$2*X272</f>
        <v/>
      </c>
      <c r="N273" s="46">
        <f>I273+J273*C273+K273*D273+L273*E273+F273*M273</f>
        <v/>
      </c>
      <c r="O273" s="46">
        <f>1/(1+EXP(-N273))</f>
        <v/>
      </c>
      <c r="P273" s="47">
        <f>IF(O273&gt;0.5,1,0)</f>
        <v/>
      </c>
      <c r="Q273" s="47">
        <f>O273-G273</f>
        <v/>
      </c>
      <c r="R273" s="48">
        <f>Q273^2</f>
        <v/>
      </c>
      <c r="S273">
        <f>IF(P273=G273,1,0)</f>
        <v/>
      </c>
      <c r="T273">
        <f>2*(O273-G273)*(1-O273)*O273</f>
        <v/>
      </c>
      <c r="U273">
        <f>2*(O273-G273)*(1-O273)*O273*C273</f>
        <v/>
      </c>
      <c r="V273">
        <f>2*(O273-G273)*(1-O273)*O273*D273</f>
        <v/>
      </c>
      <c r="W273">
        <f>2*(O273-G273)*(1-O273)*O273*E273</f>
        <v/>
      </c>
      <c r="X273">
        <f>2*(O273-G273)*(1-O273)*O273*F273</f>
        <v/>
      </c>
    </row>
    <row r="274" ht="14.25" customHeight="1" s="96">
      <c r="B274" s="44" t="n">
        <v>30</v>
      </c>
      <c r="C274" s="78" t="n">
        <v>4.7</v>
      </c>
      <c r="D274" s="46" t="n">
        <v>3.2</v>
      </c>
      <c r="E274" s="46" t="n">
        <v>1.6</v>
      </c>
      <c r="F274" s="46" t="n">
        <v>0.2</v>
      </c>
      <c r="G274" s="45" t="n">
        <v>0</v>
      </c>
      <c r="I274" s="44">
        <f>I273-$K$2*T273</f>
        <v/>
      </c>
      <c r="J274" s="46">
        <f>J273-$K$2*U273</f>
        <v/>
      </c>
      <c r="K274" s="46">
        <f>K273-$K$2*V273</f>
        <v/>
      </c>
      <c r="L274" s="46">
        <f>L273-$K$2*W273</f>
        <v/>
      </c>
      <c r="M274" s="46">
        <f>M273-$K$2*X273</f>
        <v/>
      </c>
      <c r="N274" s="46">
        <f>I274+J274*C274+K274*D274+L274*E274+F274*M274</f>
        <v/>
      </c>
      <c r="O274" s="46">
        <f>1/(1+EXP(-N274))</f>
        <v/>
      </c>
      <c r="P274" s="47">
        <f>IF(O274&gt;0.5,1,0)</f>
        <v/>
      </c>
      <c r="Q274" s="47">
        <f>O274-G274</f>
        <v/>
      </c>
      <c r="R274" s="48">
        <f>Q274^2</f>
        <v/>
      </c>
      <c r="S274">
        <f>IF(P274=G274,1,0)</f>
        <v/>
      </c>
      <c r="T274">
        <f>2*(O274-G274)*(1-O274)*O274</f>
        <v/>
      </c>
      <c r="U274">
        <f>2*(O274-G274)*(1-O274)*O274*C274</f>
        <v/>
      </c>
      <c r="V274">
        <f>2*(O274-G274)*(1-O274)*O274*D274</f>
        <v/>
      </c>
      <c r="W274">
        <f>2*(O274-G274)*(1-O274)*O274*E274</f>
        <v/>
      </c>
      <c r="X274">
        <f>2*(O274-G274)*(1-O274)*O274*F274</f>
        <v/>
      </c>
    </row>
    <row r="275" ht="14.25" customHeight="1" s="96">
      <c r="B275" s="44" t="n">
        <v>31</v>
      </c>
      <c r="C275" s="78" t="n">
        <v>4.8</v>
      </c>
      <c r="D275" s="46" t="n">
        <v>3.1</v>
      </c>
      <c r="E275" s="46" t="n">
        <v>1.6</v>
      </c>
      <c r="F275" s="46" t="n">
        <v>0.2</v>
      </c>
      <c r="G275" s="45" t="n">
        <v>0</v>
      </c>
      <c r="I275" s="44">
        <f>I274-$K$2*T274</f>
        <v/>
      </c>
      <c r="J275" s="46">
        <f>J274-$K$2*U274</f>
        <v/>
      </c>
      <c r="K275" s="46">
        <f>K274-$K$2*V274</f>
        <v/>
      </c>
      <c r="L275" s="46">
        <f>L274-$K$2*W274</f>
        <v/>
      </c>
      <c r="M275" s="46">
        <f>M274-$K$2*X274</f>
        <v/>
      </c>
      <c r="N275" s="46">
        <f>I275+J275*C275+K275*D275+L275*E275+F275*M275</f>
        <v/>
      </c>
      <c r="O275" s="46">
        <f>1/(1+EXP(-N275))</f>
        <v/>
      </c>
      <c r="P275" s="47">
        <f>IF(O275&gt;0.5,1,0)</f>
        <v/>
      </c>
      <c r="Q275" s="47">
        <f>O275-G275</f>
        <v/>
      </c>
      <c r="R275" s="48">
        <f>Q275^2</f>
        <v/>
      </c>
      <c r="S275">
        <f>IF(P275=G275,1,0)</f>
        <v/>
      </c>
      <c r="T275">
        <f>2*(O275-G275)*(1-O275)*O275</f>
        <v/>
      </c>
      <c r="U275">
        <f>2*(O275-G275)*(1-O275)*O275*C275</f>
        <v/>
      </c>
      <c r="V275">
        <f>2*(O275-G275)*(1-O275)*O275*D275</f>
        <v/>
      </c>
      <c r="W275">
        <f>2*(O275-G275)*(1-O275)*O275*E275</f>
        <v/>
      </c>
      <c r="X275">
        <f>2*(O275-G275)*(1-O275)*O275*F275</f>
        <v/>
      </c>
    </row>
    <row r="276" ht="14.25" customHeight="1" s="96">
      <c r="B276" s="44" t="n">
        <v>32</v>
      </c>
      <c r="C276" s="78" t="n">
        <v>5.4</v>
      </c>
      <c r="D276" s="46" t="n">
        <v>3.4</v>
      </c>
      <c r="E276" s="46" t="n">
        <v>1.5</v>
      </c>
      <c r="F276" s="46" t="n">
        <v>0.4</v>
      </c>
      <c r="G276" s="45" t="n">
        <v>0</v>
      </c>
      <c r="I276" s="44">
        <f>I275-$K$2*T275</f>
        <v/>
      </c>
      <c r="J276" s="46">
        <f>J275-$K$2*U275</f>
        <v/>
      </c>
      <c r="K276" s="46">
        <f>K275-$K$2*V275</f>
        <v/>
      </c>
      <c r="L276" s="46">
        <f>L275-$K$2*W275</f>
        <v/>
      </c>
      <c r="M276" s="46">
        <f>M275-$K$2*X275</f>
        <v/>
      </c>
      <c r="N276" s="46">
        <f>I276+J276*C276+K276*D276+L276*E276+F276*M276</f>
        <v/>
      </c>
      <c r="O276" s="46">
        <f>1/(1+EXP(-N276))</f>
        <v/>
      </c>
      <c r="P276" s="47">
        <f>IF(O276&gt;0.5,1,0)</f>
        <v/>
      </c>
      <c r="Q276" s="47">
        <f>O276-G276</f>
        <v/>
      </c>
      <c r="R276" s="48">
        <f>Q276^2</f>
        <v/>
      </c>
      <c r="S276">
        <f>IF(P276=G276,1,0)</f>
        <v/>
      </c>
      <c r="T276">
        <f>2*(O276-G276)*(1-O276)*O276</f>
        <v/>
      </c>
      <c r="U276">
        <f>2*(O276-G276)*(1-O276)*O276*C276</f>
        <v/>
      </c>
      <c r="V276">
        <f>2*(O276-G276)*(1-O276)*O276*D276</f>
        <v/>
      </c>
      <c r="W276">
        <f>2*(O276-G276)*(1-O276)*O276*E276</f>
        <v/>
      </c>
      <c r="X276">
        <f>2*(O276-G276)*(1-O276)*O276*F276</f>
        <v/>
      </c>
    </row>
    <row r="277" ht="14.25" customHeight="1" s="96">
      <c r="B277" s="44" t="n">
        <v>33</v>
      </c>
      <c r="C277" s="78" t="n">
        <v>5.2</v>
      </c>
      <c r="D277" s="46" t="n">
        <v>4.1</v>
      </c>
      <c r="E277" s="46" t="n">
        <v>1.5</v>
      </c>
      <c r="F277" s="46" t="n">
        <v>0.1</v>
      </c>
      <c r="G277" s="45" t="n">
        <v>0</v>
      </c>
      <c r="I277" s="44">
        <f>I276-$K$2*T276</f>
        <v/>
      </c>
      <c r="J277" s="46">
        <f>J276-$K$2*U276</f>
        <v/>
      </c>
      <c r="K277" s="46">
        <f>K276-$K$2*V276</f>
        <v/>
      </c>
      <c r="L277" s="46">
        <f>L276-$K$2*W276</f>
        <v/>
      </c>
      <c r="M277" s="46">
        <f>M276-$K$2*X276</f>
        <v/>
      </c>
      <c r="N277" s="46">
        <f>I277+J277*C277+K277*D277+L277*E277+F277*M277</f>
        <v/>
      </c>
      <c r="O277" s="46">
        <f>1/(1+EXP(-N277))</f>
        <v/>
      </c>
      <c r="P277" s="47">
        <f>IF(O277&gt;0.5,1,0)</f>
        <v/>
      </c>
      <c r="Q277" s="47">
        <f>O277-G277</f>
        <v/>
      </c>
      <c r="R277" s="48">
        <f>Q277^2</f>
        <v/>
      </c>
      <c r="S277">
        <f>IF(P277=G277,1,0)</f>
        <v/>
      </c>
      <c r="T277">
        <f>2*(O277-G277)*(1-O277)*O277</f>
        <v/>
      </c>
      <c r="U277">
        <f>2*(O277-G277)*(1-O277)*O277*C277</f>
        <v/>
      </c>
      <c r="V277">
        <f>2*(O277-G277)*(1-O277)*O277*D277</f>
        <v/>
      </c>
      <c r="W277">
        <f>2*(O277-G277)*(1-O277)*O277*E277</f>
        <v/>
      </c>
      <c r="X277">
        <f>2*(O277-G277)*(1-O277)*O277*F277</f>
        <v/>
      </c>
    </row>
    <row r="278" ht="14.25" customHeight="1" s="96">
      <c r="B278" s="44" t="n">
        <v>34</v>
      </c>
      <c r="C278" s="78" t="n">
        <v>5.5</v>
      </c>
      <c r="D278" s="46" t="n">
        <v>4.2</v>
      </c>
      <c r="E278" s="46" t="n">
        <v>1.4</v>
      </c>
      <c r="F278" s="46" t="n">
        <v>0.2</v>
      </c>
      <c r="G278" s="45" t="n">
        <v>0</v>
      </c>
      <c r="I278" s="44">
        <f>I277-$K$2*T277</f>
        <v/>
      </c>
      <c r="J278" s="46">
        <f>J277-$K$2*U277</f>
        <v/>
      </c>
      <c r="K278" s="46">
        <f>K277-$K$2*V277</f>
        <v/>
      </c>
      <c r="L278" s="46">
        <f>L277-$K$2*W277</f>
        <v/>
      </c>
      <c r="M278" s="46">
        <f>M277-$K$2*X277</f>
        <v/>
      </c>
      <c r="N278" s="46">
        <f>I278+J278*C278+K278*D278+L278*E278+F278*M278</f>
        <v/>
      </c>
      <c r="O278" s="46">
        <f>1/(1+EXP(-N278))</f>
        <v/>
      </c>
      <c r="P278" s="47">
        <f>IF(O278&gt;0.5,1,0)</f>
        <v/>
      </c>
      <c r="Q278" s="47">
        <f>O278-G278</f>
        <v/>
      </c>
      <c r="R278" s="48">
        <f>Q278^2</f>
        <v/>
      </c>
      <c r="S278">
        <f>IF(P278=G278,1,0)</f>
        <v/>
      </c>
      <c r="T278">
        <f>2*(O278-G278)*(1-O278)*O278</f>
        <v/>
      </c>
      <c r="U278">
        <f>2*(O278-G278)*(1-O278)*O278*C278</f>
        <v/>
      </c>
      <c r="V278">
        <f>2*(O278-G278)*(1-O278)*O278*D278</f>
        <v/>
      </c>
      <c r="W278">
        <f>2*(O278-G278)*(1-O278)*O278*E278</f>
        <v/>
      </c>
      <c r="X278">
        <f>2*(O278-G278)*(1-O278)*O278*F278</f>
        <v/>
      </c>
    </row>
    <row r="279" ht="14.25" customHeight="1" s="96">
      <c r="B279" s="44" t="n">
        <v>35</v>
      </c>
      <c r="C279" s="78" t="n">
        <v>4.9</v>
      </c>
      <c r="D279" s="46" t="n">
        <v>3.1</v>
      </c>
      <c r="E279" s="46" t="n">
        <v>1.5</v>
      </c>
      <c r="F279" s="46" t="n">
        <v>0.1</v>
      </c>
      <c r="G279" s="45" t="n">
        <v>0</v>
      </c>
      <c r="I279" s="44">
        <f>I278-$K$2*T278</f>
        <v/>
      </c>
      <c r="J279" s="46">
        <f>J278-$K$2*U278</f>
        <v/>
      </c>
      <c r="K279" s="46">
        <f>K278-$K$2*V278</f>
        <v/>
      </c>
      <c r="L279" s="46">
        <f>L278-$K$2*W278</f>
        <v/>
      </c>
      <c r="M279" s="46">
        <f>M278-$K$2*X278</f>
        <v/>
      </c>
      <c r="N279" s="46">
        <f>I279+J279*C279+K279*D279+L279*E279+F279*M279</f>
        <v/>
      </c>
      <c r="O279" s="46">
        <f>1/(1+EXP(-N279))</f>
        <v/>
      </c>
      <c r="P279" s="47">
        <f>IF(O279&gt;0.5,1,0)</f>
        <v/>
      </c>
      <c r="Q279" s="47">
        <f>O279-G279</f>
        <v/>
      </c>
      <c r="R279" s="48">
        <f>Q279^2</f>
        <v/>
      </c>
      <c r="S279">
        <f>IF(P279=G279,1,0)</f>
        <v/>
      </c>
      <c r="T279">
        <f>2*(O279-G279)*(1-O279)*O279</f>
        <v/>
      </c>
      <c r="U279">
        <f>2*(O279-G279)*(1-O279)*O279*C279</f>
        <v/>
      </c>
      <c r="V279">
        <f>2*(O279-G279)*(1-O279)*O279*D279</f>
        <v/>
      </c>
      <c r="W279">
        <f>2*(O279-G279)*(1-O279)*O279*E279</f>
        <v/>
      </c>
      <c r="X279">
        <f>2*(O279-G279)*(1-O279)*O279*F279</f>
        <v/>
      </c>
    </row>
    <row r="280" ht="14.25" customHeight="1" s="96">
      <c r="B280" s="44" t="n">
        <v>36</v>
      </c>
      <c r="C280" s="78" t="n">
        <v>5</v>
      </c>
      <c r="D280" s="46" t="n">
        <v>3.2</v>
      </c>
      <c r="E280" s="46" t="n">
        <v>1.2</v>
      </c>
      <c r="F280" s="46" t="n">
        <v>0.2</v>
      </c>
      <c r="G280" s="45" t="n">
        <v>0</v>
      </c>
      <c r="I280" s="44">
        <f>I279-$K$2*T279</f>
        <v/>
      </c>
      <c r="J280" s="46">
        <f>J279-$K$2*U279</f>
        <v/>
      </c>
      <c r="K280" s="46">
        <f>K279-$K$2*V279</f>
        <v/>
      </c>
      <c r="L280" s="46">
        <f>L279-$K$2*W279</f>
        <v/>
      </c>
      <c r="M280" s="46">
        <f>M279-$K$2*X279</f>
        <v/>
      </c>
      <c r="N280" s="46">
        <f>I280+J280*C280+K280*D280+L280*E280+F280*M280</f>
        <v/>
      </c>
      <c r="O280" s="46">
        <f>1/(1+EXP(-N280))</f>
        <v/>
      </c>
      <c r="P280" s="47">
        <f>IF(O280&gt;0.5,1,0)</f>
        <v/>
      </c>
      <c r="Q280" s="47">
        <f>O280-G280</f>
        <v/>
      </c>
      <c r="R280" s="48">
        <f>Q280^2</f>
        <v/>
      </c>
      <c r="S280">
        <f>IF(P280=G280,1,0)</f>
        <v/>
      </c>
      <c r="T280">
        <f>2*(O280-G280)*(1-O280)*O280</f>
        <v/>
      </c>
      <c r="U280">
        <f>2*(O280-G280)*(1-O280)*O280*C280</f>
        <v/>
      </c>
      <c r="V280">
        <f>2*(O280-G280)*(1-O280)*O280*D280</f>
        <v/>
      </c>
      <c r="W280">
        <f>2*(O280-G280)*(1-O280)*O280*E280</f>
        <v/>
      </c>
      <c r="X280">
        <f>2*(O280-G280)*(1-O280)*O280*F280</f>
        <v/>
      </c>
    </row>
    <row r="281" ht="14.25" customHeight="1" s="96">
      <c r="B281" s="44" t="n">
        <v>37</v>
      </c>
      <c r="C281" s="78" t="n">
        <v>5.5</v>
      </c>
      <c r="D281" s="46" t="n">
        <v>3.5</v>
      </c>
      <c r="E281" s="46" t="n">
        <v>1.3</v>
      </c>
      <c r="F281" s="46" t="n">
        <v>0.2</v>
      </c>
      <c r="G281" s="45" t="n">
        <v>0</v>
      </c>
      <c r="I281" s="44">
        <f>I280-$K$2*T280</f>
        <v/>
      </c>
      <c r="J281" s="46">
        <f>J280-$K$2*U280</f>
        <v/>
      </c>
      <c r="K281" s="46">
        <f>K280-$K$2*V280</f>
        <v/>
      </c>
      <c r="L281" s="46">
        <f>L280-$K$2*W280</f>
        <v/>
      </c>
      <c r="M281" s="46">
        <f>M280-$K$2*X280</f>
        <v/>
      </c>
      <c r="N281" s="46">
        <f>I281+J281*C281+K281*D281+L281*E281+F281*M281</f>
        <v/>
      </c>
      <c r="O281" s="46">
        <f>1/(1+EXP(-N281))</f>
        <v/>
      </c>
      <c r="P281" s="47">
        <f>IF(O281&gt;0.5,1,0)</f>
        <v/>
      </c>
      <c r="Q281" s="47">
        <f>O281-G281</f>
        <v/>
      </c>
      <c r="R281" s="48">
        <f>Q281^2</f>
        <v/>
      </c>
      <c r="S281">
        <f>IF(P281=G281,1,0)</f>
        <v/>
      </c>
      <c r="T281">
        <f>2*(O281-G281)*(1-O281)*O281</f>
        <v/>
      </c>
      <c r="U281">
        <f>2*(O281-G281)*(1-O281)*O281*C281</f>
        <v/>
      </c>
      <c r="V281">
        <f>2*(O281-G281)*(1-O281)*O281*D281</f>
        <v/>
      </c>
      <c r="W281">
        <f>2*(O281-G281)*(1-O281)*O281*E281</f>
        <v/>
      </c>
      <c r="X281">
        <f>2*(O281-G281)*(1-O281)*O281*F281</f>
        <v/>
      </c>
    </row>
    <row r="282" ht="14.25" customHeight="1" s="96">
      <c r="B282" s="44" t="n">
        <v>38</v>
      </c>
      <c r="C282" s="78" t="n">
        <v>4.9</v>
      </c>
      <c r="D282" s="46" t="n">
        <v>3.1</v>
      </c>
      <c r="E282" s="46" t="n">
        <v>1.5</v>
      </c>
      <c r="F282" s="46" t="n">
        <v>0.1</v>
      </c>
      <c r="G282" s="45" t="n">
        <v>0</v>
      </c>
      <c r="I282" s="44">
        <f>I281-$K$2*T281</f>
        <v/>
      </c>
      <c r="J282" s="46">
        <f>J281-$K$2*U281</f>
        <v/>
      </c>
      <c r="K282" s="46">
        <f>K281-$K$2*V281</f>
        <v/>
      </c>
      <c r="L282" s="46">
        <f>L281-$K$2*W281</f>
        <v/>
      </c>
      <c r="M282" s="46">
        <f>M281-$K$2*X281</f>
        <v/>
      </c>
      <c r="N282" s="46">
        <f>I282+J282*C282+K282*D282+L282*E282+F282*M282</f>
        <v/>
      </c>
      <c r="O282" s="46">
        <f>1/(1+EXP(-N282))</f>
        <v/>
      </c>
      <c r="P282" s="47">
        <f>IF(O282&gt;0.5,1,0)</f>
        <v/>
      </c>
      <c r="Q282" s="47">
        <f>O282-G282</f>
        <v/>
      </c>
      <c r="R282" s="48">
        <f>Q282^2</f>
        <v/>
      </c>
      <c r="S282">
        <f>IF(P282=G282,1,0)</f>
        <v/>
      </c>
      <c r="T282">
        <f>2*(O282-G282)*(1-O282)*O282</f>
        <v/>
      </c>
      <c r="U282">
        <f>2*(O282-G282)*(1-O282)*O282*C282</f>
        <v/>
      </c>
      <c r="V282">
        <f>2*(O282-G282)*(1-O282)*O282*D282</f>
        <v/>
      </c>
      <c r="W282">
        <f>2*(O282-G282)*(1-O282)*O282*E282</f>
        <v/>
      </c>
      <c r="X282">
        <f>2*(O282-G282)*(1-O282)*O282*F282</f>
        <v/>
      </c>
    </row>
    <row r="283" ht="14.25" customHeight="1" s="96">
      <c r="B283" s="44" t="n">
        <v>39</v>
      </c>
      <c r="C283" s="78" t="n">
        <v>4.4</v>
      </c>
      <c r="D283" s="46" t="n">
        <v>3</v>
      </c>
      <c r="E283" s="46" t="n">
        <v>1.3</v>
      </c>
      <c r="F283" s="46" t="n">
        <v>0.2</v>
      </c>
      <c r="G283" s="45" t="n">
        <v>0</v>
      </c>
      <c r="I283" s="44">
        <f>I282-$K$2*T282</f>
        <v/>
      </c>
      <c r="J283" s="46">
        <f>J282-$K$2*U282</f>
        <v/>
      </c>
      <c r="K283" s="46">
        <f>K282-$K$2*V282</f>
        <v/>
      </c>
      <c r="L283" s="46">
        <f>L282-$K$2*W282</f>
        <v/>
      </c>
      <c r="M283" s="46">
        <f>M282-$K$2*X282</f>
        <v/>
      </c>
      <c r="N283" s="46">
        <f>I283+J283*C283+K283*D283+L283*E283+F283*M283</f>
        <v/>
      </c>
      <c r="O283" s="46">
        <f>1/(1+EXP(-N283))</f>
        <v/>
      </c>
      <c r="P283" s="47">
        <f>IF(O283&gt;0.5,1,0)</f>
        <v/>
      </c>
      <c r="Q283" s="47">
        <f>O283-G283</f>
        <v/>
      </c>
      <c r="R283" s="48">
        <f>Q283^2</f>
        <v/>
      </c>
      <c r="S283">
        <f>IF(P283=G283,1,0)</f>
        <v/>
      </c>
      <c r="T283">
        <f>2*(O283-G283)*(1-O283)*O283</f>
        <v/>
      </c>
      <c r="U283">
        <f>2*(O283-G283)*(1-O283)*O283*C283</f>
        <v/>
      </c>
      <c r="V283">
        <f>2*(O283-G283)*(1-O283)*O283*D283</f>
        <v/>
      </c>
      <c r="W283">
        <f>2*(O283-G283)*(1-O283)*O283*E283</f>
        <v/>
      </c>
      <c r="X283">
        <f>2*(O283-G283)*(1-O283)*O283*F283</f>
        <v/>
      </c>
    </row>
    <row r="284" ht="14.25" customHeight="1" s="96">
      <c r="B284" s="87" t="n">
        <v>40</v>
      </c>
      <c r="C284" s="88" t="n">
        <v>5.1</v>
      </c>
      <c r="D284" s="89" t="n">
        <v>3.4</v>
      </c>
      <c r="E284" s="89" t="n">
        <v>1.5</v>
      </c>
      <c r="F284" s="89" t="n">
        <v>0.2</v>
      </c>
      <c r="G284" s="90" t="n">
        <v>0</v>
      </c>
      <c r="I284" s="87">
        <f>I283-$K$2*T283</f>
        <v/>
      </c>
      <c r="J284" s="89">
        <f>J283-$K$2*U283</f>
        <v/>
      </c>
      <c r="K284" s="89">
        <f>K283-$K$2*V283</f>
        <v/>
      </c>
      <c r="L284" s="89">
        <f>L283-$K$2*W283</f>
        <v/>
      </c>
      <c r="M284" s="89">
        <f>M283-$K$2*X283</f>
        <v/>
      </c>
      <c r="N284" s="89">
        <f>I284+J284*C284+K284*D284+L284*E284+F284*M284</f>
        <v/>
      </c>
      <c r="O284" s="89">
        <f>1/(1+EXP(-N284))</f>
        <v/>
      </c>
      <c r="P284" s="91">
        <f>IF(O284&gt;0.5,1,0)</f>
        <v/>
      </c>
      <c r="Q284" s="91">
        <f>O284-G284</f>
        <v/>
      </c>
      <c r="R284" s="92">
        <f>Q284^2</f>
        <v/>
      </c>
      <c r="S284">
        <f>IF(P284=G284,1,0)</f>
        <v/>
      </c>
      <c r="T284">
        <f>2*(O284-G284)*(1-O284)*O284</f>
        <v/>
      </c>
      <c r="U284">
        <f>2*(O284-G284)*(1-O284)*O284*C284</f>
        <v/>
      </c>
      <c r="V284">
        <f>2*(O284-G284)*(1-O284)*O284*D284</f>
        <v/>
      </c>
      <c r="W284">
        <f>2*(O284-G284)*(1-O284)*O284*E284</f>
        <v/>
      </c>
      <c r="X284">
        <f>2*(O284-G284)*(1-O284)*O284*F284</f>
        <v/>
      </c>
    </row>
    <row r="285" ht="14.25" customHeight="1" s="96">
      <c r="B285" s="60" t="n">
        <v>41</v>
      </c>
      <c r="C285" s="76" t="n">
        <v>7</v>
      </c>
      <c r="D285" s="61" t="n">
        <v>3.2</v>
      </c>
      <c r="E285" s="61" t="n">
        <v>4.7</v>
      </c>
      <c r="F285" s="61" t="n">
        <v>1.4</v>
      </c>
      <c r="G285" s="77" t="n">
        <v>1</v>
      </c>
      <c r="I285" s="60">
        <f>I284-$K$2*T284</f>
        <v/>
      </c>
      <c r="J285" s="61">
        <f>J284-$K$2*U284</f>
        <v/>
      </c>
      <c r="K285" s="61">
        <f>K284-$K$2*V284</f>
        <v/>
      </c>
      <c r="L285" s="61">
        <f>L284-$K$2*W284</f>
        <v/>
      </c>
      <c r="M285" s="61">
        <f>M284-$K$2*X284</f>
        <v/>
      </c>
      <c r="N285" s="61">
        <f>I285+J285*C285+K285*D285+L285*E285+F285*M285</f>
        <v/>
      </c>
      <c r="O285" s="61">
        <f>1/(1+EXP(-N285))</f>
        <v/>
      </c>
      <c r="P285" s="62">
        <f>IF(O285&gt;0.5,1,0)</f>
        <v/>
      </c>
      <c r="Q285" s="62">
        <f>O285-G285</f>
        <v/>
      </c>
      <c r="R285" s="63">
        <f>Q285^2</f>
        <v/>
      </c>
      <c r="S285">
        <f>IF(P285=G285,1,0)</f>
        <v/>
      </c>
      <c r="T285">
        <f>2*(O285-G285)*(1-O285)*O285</f>
        <v/>
      </c>
      <c r="U285">
        <f>2*(O285-G285)*(1-O285)*O285*C285</f>
        <v/>
      </c>
      <c r="V285">
        <f>2*(O285-G285)*(1-O285)*O285*D285</f>
        <v/>
      </c>
      <c r="W285">
        <f>2*(O285-G285)*(1-O285)*O285*E285</f>
        <v/>
      </c>
      <c r="X285">
        <f>2*(O285-G285)*(1-O285)*O285*F285</f>
        <v/>
      </c>
    </row>
    <row r="286" ht="14.25" customHeight="1" s="96">
      <c r="B286" s="66" t="n">
        <v>42</v>
      </c>
      <c r="C286" s="79" t="n">
        <v>6.4</v>
      </c>
      <c r="D286" s="67" t="n">
        <v>3.2</v>
      </c>
      <c r="E286" s="67" t="n">
        <v>4.5</v>
      </c>
      <c r="F286" s="67" t="n">
        <v>1.5</v>
      </c>
      <c r="G286" s="80" t="n">
        <v>1</v>
      </c>
      <c r="I286" s="66">
        <f>I285-$K$2*T285</f>
        <v/>
      </c>
      <c r="J286" s="67">
        <f>J285-$K$2*U285</f>
        <v/>
      </c>
      <c r="K286" s="67">
        <f>K285-$K$2*V285</f>
        <v/>
      </c>
      <c r="L286" s="67">
        <f>L285-$K$2*W285</f>
        <v/>
      </c>
      <c r="M286" s="67">
        <f>M285-$K$2*X285</f>
        <v/>
      </c>
      <c r="N286" s="67">
        <f>I286+J286*C286+K286*D286+L286*E286+F286*M286</f>
        <v/>
      </c>
      <c r="O286" s="67">
        <f>1/(1+EXP(-N286))</f>
        <v/>
      </c>
      <c r="P286" s="68">
        <f>IF(O286&gt;0.5,1,0)</f>
        <v/>
      </c>
      <c r="Q286" s="68">
        <f>O286-G286</f>
        <v/>
      </c>
      <c r="R286" s="69">
        <f>Q286^2</f>
        <v/>
      </c>
      <c r="S286">
        <f>IF(P286=G286,1,0)</f>
        <v/>
      </c>
      <c r="T286">
        <f>2*(O286-G286)*(1-O286)*O286</f>
        <v/>
      </c>
      <c r="U286">
        <f>2*(O286-G286)*(1-O286)*O286*C286</f>
        <v/>
      </c>
      <c r="V286">
        <f>2*(O286-G286)*(1-O286)*O286*D286</f>
        <v/>
      </c>
      <c r="W286">
        <f>2*(O286-G286)*(1-O286)*O286*E286</f>
        <v/>
      </c>
      <c r="X286">
        <f>2*(O286-G286)*(1-O286)*O286*F286</f>
        <v/>
      </c>
    </row>
    <row r="287" ht="14.25" customHeight="1" s="96">
      <c r="B287" s="66" t="n">
        <v>43</v>
      </c>
      <c r="C287" s="79" t="n">
        <v>6.9</v>
      </c>
      <c r="D287" s="67" t="n">
        <v>3.1</v>
      </c>
      <c r="E287" s="67" t="n">
        <v>4.9</v>
      </c>
      <c r="F287" s="67" t="n">
        <v>1.5</v>
      </c>
      <c r="G287" s="80" t="n">
        <v>1</v>
      </c>
      <c r="I287" s="66">
        <f>I286-$K$2*T286</f>
        <v/>
      </c>
      <c r="J287" s="67">
        <f>J286-$K$2*U286</f>
        <v/>
      </c>
      <c r="K287" s="67">
        <f>K286-$K$2*V286</f>
        <v/>
      </c>
      <c r="L287" s="67">
        <f>L286-$K$2*W286</f>
        <v/>
      </c>
      <c r="M287" s="67">
        <f>M286-$K$2*X286</f>
        <v/>
      </c>
      <c r="N287" s="67">
        <f>I287+J287*C287+K287*D287+L287*E287+F287*M287</f>
        <v/>
      </c>
      <c r="O287" s="67">
        <f>1/(1+EXP(-N287))</f>
        <v/>
      </c>
      <c r="P287" s="68">
        <f>IF(O287&gt;0.5,1,0)</f>
        <v/>
      </c>
      <c r="Q287" s="68">
        <f>O287-G287</f>
        <v/>
      </c>
      <c r="R287" s="69">
        <f>Q287^2</f>
        <v/>
      </c>
      <c r="S287">
        <f>IF(P287=G287,1,0)</f>
        <v/>
      </c>
      <c r="T287">
        <f>2*(O287-G287)*(1-O287)*O287</f>
        <v/>
      </c>
      <c r="U287">
        <f>2*(O287-G287)*(1-O287)*O287*C287</f>
        <v/>
      </c>
      <c r="V287">
        <f>2*(O287-G287)*(1-O287)*O287*D287</f>
        <v/>
      </c>
      <c r="W287">
        <f>2*(O287-G287)*(1-O287)*O287*E287</f>
        <v/>
      </c>
      <c r="X287">
        <f>2*(O287-G287)*(1-O287)*O287*F287</f>
        <v/>
      </c>
    </row>
    <row r="288" ht="14.25" customHeight="1" s="96">
      <c r="B288" s="66" t="n">
        <v>44</v>
      </c>
      <c r="C288" s="79" t="n">
        <v>5.5</v>
      </c>
      <c r="D288" s="67" t="n">
        <v>2.3</v>
      </c>
      <c r="E288" s="67" t="n">
        <v>4</v>
      </c>
      <c r="F288" s="67" t="n">
        <v>1.3</v>
      </c>
      <c r="G288" s="80" t="n">
        <v>1</v>
      </c>
      <c r="I288" s="66">
        <f>I287-$K$2*T287</f>
        <v/>
      </c>
      <c r="J288" s="67">
        <f>J287-$K$2*U287</f>
        <v/>
      </c>
      <c r="K288" s="67">
        <f>K287-$K$2*V287</f>
        <v/>
      </c>
      <c r="L288" s="67">
        <f>L287-$K$2*W287</f>
        <v/>
      </c>
      <c r="M288" s="67">
        <f>M287-$K$2*X287</f>
        <v/>
      </c>
      <c r="N288" s="67">
        <f>I288+J288*C288+K288*D288+L288*E288+F288*M288</f>
        <v/>
      </c>
      <c r="O288" s="67">
        <f>1/(1+EXP(-N288))</f>
        <v/>
      </c>
      <c r="P288" s="68">
        <f>IF(O288&gt;0.5,1,0)</f>
        <v/>
      </c>
      <c r="Q288" s="68">
        <f>O288-G288</f>
        <v/>
      </c>
      <c r="R288" s="69">
        <f>Q288^2</f>
        <v/>
      </c>
      <c r="S288">
        <f>IF(P288=G288,1,0)</f>
        <v/>
      </c>
      <c r="T288">
        <f>2*(O288-G288)*(1-O288)*O288</f>
        <v/>
      </c>
      <c r="U288">
        <f>2*(O288-G288)*(1-O288)*O288*C288</f>
        <v/>
      </c>
      <c r="V288">
        <f>2*(O288-G288)*(1-O288)*O288*D288</f>
        <v/>
      </c>
      <c r="W288">
        <f>2*(O288-G288)*(1-O288)*O288*E288</f>
        <v/>
      </c>
      <c r="X288">
        <f>2*(O288-G288)*(1-O288)*O288*F288</f>
        <v/>
      </c>
    </row>
    <row r="289" ht="14.25" customHeight="1" s="96">
      <c r="B289" s="66" t="n">
        <v>45</v>
      </c>
      <c r="C289" s="79" t="n">
        <v>6.5</v>
      </c>
      <c r="D289" s="67" t="n">
        <v>2.8</v>
      </c>
      <c r="E289" s="67" t="n">
        <v>4.6</v>
      </c>
      <c r="F289" s="67" t="n">
        <v>1.5</v>
      </c>
      <c r="G289" s="80" t="n">
        <v>1</v>
      </c>
      <c r="I289" s="66">
        <f>I288-$K$2*T288</f>
        <v/>
      </c>
      <c r="J289" s="67">
        <f>J288-$K$2*U288</f>
        <v/>
      </c>
      <c r="K289" s="67">
        <f>K288-$K$2*V288</f>
        <v/>
      </c>
      <c r="L289" s="67">
        <f>L288-$K$2*W288</f>
        <v/>
      </c>
      <c r="M289" s="67">
        <f>M288-$K$2*X288</f>
        <v/>
      </c>
      <c r="N289" s="67">
        <f>I289+J289*C289+K289*D289+L289*E289+F289*M289</f>
        <v/>
      </c>
      <c r="O289" s="67">
        <f>1/(1+EXP(-N289))</f>
        <v/>
      </c>
      <c r="P289" s="68">
        <f>IF(O289&gt;0.5,1,0)</f>
        <v/>
      </c>
      <c r="Q289" s="68">
        <f>O289-G289</f>
        <v/>
      </c>
      <c r="R289" s="69">
        <f>Q289^2</f>
        <v/>
      </c>
      <c r="S289">
        <f>IF(P289=G289,1,0)</f>
        <v/>
      </c>
      <c r="T289">
        <f>2*(O289-G289)*(1-O289)*O289</f>
        <v/>
      </c>
      <c r="U289">
        <f>2*(O289-G289)*(1-O289)*O289*C289</f>
        <v/>
      </c>
      <c r="V289">
        <f>2*(O289-G289)*(1-O289)*O289*D289</f>
        <v/>
      </c>
      <c r="W289">
        <f>2*(O289-G289)*(1-O289)*O289*E289</f>
        <v/>
      </c>
      <c r="X289">
        <f>2*(O289-G289)*(1-O289)*O289*F289</f>
        <v/>
      </c>
    </row>
    <row r="290" ht="14.25" customHeight="1" s="96">
      <c r="B290" s="66" t="n">
        <v>46</v>
      </c>
      <c r="C290" s="79" t="n">
        <v>5.7</v>
      </c>
      <c r="D290" s="67" t="n">
        <v>2.8</v>
      </c>
      <c r="E290" s="67" t="n">
        <v>4.5</v>
      </c>
      <c r="F290" s="67" t="n">
        <v>1.3</v>
      </c>
      <c r="G290" s="80" t="n">
        <v>1</v>
      </c>
      <c r="I290" s="66">
        <f>I289-$K$2*T289</f>
        <v/>
      </c>
      <c r="J290" s="67">
        <f>J289-$K$2*U289</f>
        <v/>
      </c>
      <c r="K290" s="67">
        <f>K289-$K$2*V289</f>
        <v/>
      </c>
      <c r="L290" s="67">
        <f>L289-$K$2*W289</f>
        <v/>
      </c>
      <c r="M290" s="67">
        <f>M289-$K$2*X289</f>
        <v/>
      </c>
      <c r="N290" s="67">
        <f>I290+J290*C290+K290*D290+L290*E290+F290*M290</f>
        <v/>
      </c>
      <c r="O290" s="67">
        <f>1/(1+EXP(-N290))</f>
        <v/>
      </c>
      <c r="P290" s="68">
        <f>IF(O290&gt;0.5,1,0)</f>
        <v/>
      </c>
      <c r="Q290" s="68">
        <f>O290-G290</f>
        <v/>
      </c>
      <c r="R290" s="69">
        <f>Q290^2</f>
        <v/>
      </c>
      <c r="S290">
        <f>IF(P290=G290,1,0)</f>
        <v/>
      </c>
      <c r="T290">
        <f>2*(O290-G290)*(1-O290)*O290</f>
        <v/>
      </c>
      <c r="U290">
        <f>2*(O290-G290)*(1-O290)*O290*C290</f>
        <v/>
      </c>
      <c r="V290">
        <f>2*(O290-G290)*(1-O290)*O290*D290</f>
        <v/>
      </c>
      <c r="W290">
        <f>2*(O290-G290)*(1-O290)*O290*E290</f>
        <v/>
      </c>
      <c r="X290">
        <f>2*(O290-G290)*(1-O290)*O290*F290</f>
        <v/>
      </c>
    </row>
    <row r="291" ht="14.25" customHeight="1" s="96">
      <c r="B291" s="66" t="n">
        <v>47</v>
      </c>
      <c r="C291" s="79" t="n">
        <v>6.3</v>
      </c>
      <c r="D291" s="67" t="n">
        <v>3.3</v>
      </c>
      <c r="E291" s="67" t="n">
        <v>4.7</v>
      </c>
      <c r="F291" s="67" t="n">
        <v>1.6</v>
      </c>
      <c r="G291" s="80" t="n">
        <v>1</v>
      </c>
      <c r="I291" s="66">
        <f>I290-$K$2*T290</f>
        <v/>
      </c>
      <c r="J291" s="67">
        <f>J290-$K$2*U290</f>
        <v/>
      </c>
      <c r="K291" s="67">
        <f>K290-$K$2*V290</f>
        <v/>
      </c>
      <c r="L291" s="67">
        <f>L290-$K$2*W290</f>
        <v/>
      </c>
      <c r="M291" s="67">
        <f>M290-$K$2*X290</f>
        <v/>
      </c>
      <c r="N291" s="67">
        <f>I291+J291*C291+K291*D291+L291*E291+F291*M291</f>
        <v/>
      </c>
      <c r="O291" s="67">
        <f>1/(1+EXP(-N291))</f>
        <v/>
      </c>
      <c r="P291" s="68">
        <f>IF(O291&gt;0.5,1,0)</f>
        <v/>
      </c>
      <c r="Q291" s="68">
        <f>O291-G291</f>
        <v/>
      </c>
      <c r="R291" s="69">
        <f>Q291^2</f>
        <v/>
      </c>
      <c r="S291">
        <f>IF(P291=G291,1,0)</f>
        <v/>
      </c>
      <c r="T291">
        <f>2*(O291-G291)*(1-O291)*O291</f>
        <v/>
      </c>
      <c r="U291">
        <f>2*(O291-G291)*(1-O291)*O291*C291</f>
        <v/>
      </c>
      <c r="V291">
        <f>2*(O291-G291)*(1-O291)*O291*D291</f>
        <v/>
      </c>
      <c r="W291">
        <f>2*(O291-G291)*(1-O291)*O291*E291</f>
        <v/>
      </c>
      <c r="X291">
        <f>2*(O291-G291)*(1-O291)*O291*F291</f>
        <v/>
      </c>
    </row>
    <row r="292" ht="14.25" customHeight="1" s="96">
      <c r="B292" s="66" t="n">
        <v>48</v>
      </c>
      <c r="C292" s="79" t="n">
        <v>4.9</v>
      </c>
      <c r="D292" s="67" t="n">
        <v>2.4</v>
      </c>
      <c r="E292" s="67" t="n">
        <v>3.3</v>
      </c>
      <c r="F292" s="67" t="n">
        <v>1</v>
      </c>
      <c r="G292" s="80" t="n">
        <v>1</v>
      </c>
      <c r="I292" s="66">
        <f>I291-$K$2*T291</f>
        <v/>
      </c>
      <c r="J292" s="67">
        <f>J291-$K$2*U291</f>
        <v/>
      </c>
      <c r="K292" s="67">
        <f>K291-$K$2*V291</f>
        <v/>
      </c>
      <c r="L292" s="67">
        <f>L291-$K$2*W291</f>
        <v/>
      </c>
      <c r="M292" s="67">
        <f>M291-$K$2*X291</f>
        <v/>
      </c>
      <c r="N292" s="67">
        <f>I292+J292*C292+K292*D292+L292*E292+F292*M292</f>
        <v/>
      </c>
      <c r="O292" s="67">
        <f>1/(1+EXP(-N292))</f>
        <v/>
      </c>
      <c r="P292" s="68">
        <f>IF(O292&gt;0.5,1,0)</f>
        <v/>
      </c>
      <c r="Q292" s="68">
        <f>O292-G292</f>
        <v/>
      </c>
      <c r="R292" s="69">
        <f>Q292^2</f>
        <v/>
      </c>
      <c r="S292">
        <f>IF(P292=G292,1,0)</f>
        <v/>
      </c>
      <c r="T292">
        <f>2*(O292-G292)*(1-O292)*O292</f>
        <v/>
      </c>
      <c r="U292">
        <f>2*(O292-G292)*(1-O292)*O292*C292</f>
        <v/>
      </c>
      <c r="V292">
        <f>2*(O292-G292)*(1-O292)*O292*D292</f>
        <v/>
      </c>
      <c r="W292">
        <f>2*(O292-G292)*(1-O292)*O292*E292</f>
        <v/>
      </c>
      <c r="X292">
        <f>2*(O292-G292)*(1-O292)*O292*F292</f>
        <v/>
      </c>
    </row>
    <row r="293" ht="14.25" customHeight="1" s="96">
      <c r="B293" s="66" t="n">
        <v>49</v>
      </c>
      <c r="C293" s="79" t="n">
        <v>6.6</v>
      </c>
      <c r="D293" s="67" t="n">
        <v>2.9</v>
      </c>
      <c r="E293" s="67" t="n">
        <v>4.6</v>
      </c>
      <c r="F293" s="67" t="n">
        <v>1.3</v>
      </c>
      <c r="G293" s="80" t="n">
        <v>1</v>
      </c>
      <c r="I293" s="66">
        <f>I292-$K$2*T292</f>
        <v/>
      </c>
      <c r="J293" s="67">
        <f>J292-$K$2*U292</f>
        <v/>
      </c>
      <c r="K293" s="67">
        <f>K292-$K$2*V292</f>
        <v/>
      </c>
      <c r="L293" s="67">
        <f>L292-$K$2*W292</f>
        <v/>
      </c>
      <c r="M293" s="67">
        <f>M292-$K$2*X292</f>
        <v/>
      </c>
      <c r="N293" s="67">
        <f>I293+J293*C293+K293*D293+L293*E293+F293*M293</f>
        <v/>
      </c>
      <c r="O293" s="67">
        <f>1/(1+EXP(-N293))</f>
        <v/>
      </c>
      <c r="P293" s="68">
        <f>IF(O293&gt;0.5,1,0)</f>
        <v/>
      </c>
      <c r="Q293" s="68">
        <f>O293-G293</f>
        <v/>
      </c>
      <c r="R293" s="69">
        <f>Q293^2</f>
        <v/>
      </c>
      <c r="S293">
        <f>IF(P293=G293,1,0)</f>
        <v/>
      </c>
      <c r="T293">
        <f>2*(O293-G293)*(1-O293)*O293</f>
        <v/>
      </c>
      <c r="U293">
        <f>2*(O293-G293)*(1-O293)*O293*C293</f>
        <v/>
      </c>
      <c r="V293">
        <f>2*(O293-G293)*(1-O293)*O293*D293</f>
        <v/>
      </c>
      <c r="W293">
        <f>2*(O293-G293)*(1-O293)*O293*E293</f>
        <v/>
      </c>
      <c r="X293">
        <f>2*(O293-G293)*(1-O293)*O293*F293</f>
        <v/>
      </c>
    </row>
    <row r="294" ht="14.25" customHeight="1" s="96">
      <c r="B294" s="66" t="n">
        <v>50</v>
      </c>
      <c r="C294" s="79" t="n">
        <v>5.2</v>
      </c>
      <c r="D294" s="67" t="n">
        <v>2.7</v>
      </c>
      <c r="E294" s="67" t="n">
        <v>3.9</v>
      </c>
      <c r="F294" s="67" t="n">
        <v>1.4</v>
      </c>
      <c r="G294" s="80" t="n">
        <v>1</v>
      </c>
      <c r="I294" s="66">
        <f>I293-$K$2*T293</f>
        <v/>
      </c>
      <c r="J294" s="67">
        <f>J293-$K$2*U293</f>
        <v/>
      </c>
      <c r="K294" s="67">
        <f>K293-$K$2*V293</f>
        <v/>
      </c>
      <c r="L294" s="67">
        <f>L293-$K$2*W293</f>
        <v/>
      </c>
      <c r="M294" s="67">
        <f>M293-$K$2*X293</f>
        <v/>
      </c>
      <c r="N294" s="67">
        <f>I294+J294*C294+K294*D294+L294*E294+F294*M294</f>
        <v/>
      </c>
      <c r="O294" s="67">
        <f>1/(1+EXP(-N294))</f>
        <v/>
      </c>
      <c r="P294" s="68">
        <f>IF(O294&gt;0.5,1,0)</f>
        <v/>
      </c>
      <c r="Q294" s="68">
        <f>O294-G294</f>
        <v/>
      </c>
      <c r="R294" s="69">
        <f>Q294^2</f>
        <v/>
      </c>
      <c r="S294">
        <f>IF(P294=G294,1,0)</f>
        <v/>
      </c>
      <c r="T294">
        <f>2*(O294-G294)*(1-O294)*O294</f>
        <v/>
      </c>
      <c r="U294">
        <f>2*(O294-G294)*(1-O294)*O294*C294</f>
        <v/>
      </c>
      <c r="V294">
        <f>2*(O294-G294)*(1-O294)*O294*D294</f>
        <v/>
      </c>
      <c r="W294">
        <f>2*(O294-G294)*(1-O294)*O294*E294</f>
        <v/>
      </c>
      <c r="X294">
        <f>2*(O294-G294)*(1-O294)*O294*F294</f>
        <v/>
      </c>
    </row>
    <row r="295" ht="14.25" customHeight="1" s="96">
      <c r="B295" s="66" t="n">
        <v>51</v>
      </c>
      <c r="C295" s="79" t="n">
        <v>5</v>
      </c>
      <c r="D295" s="67" t="n">
        <v>2</v>
      </c>
      <c r="E295" s="67" t="n">
        <v>3.5</v>
      </c>
      <c r="F295" s="67" t="n">
        <v>1</v>
      </c>
      <c r="G295" s="80" t="n">
        <v>1</v>
      </c>
      <c r="I295" s="66">
        <f>I294-$K$2*T294</f>
        <v/>
      </c>
      <c r="J295" s="67">
        <f>J294-$K$2*U294</f>
        <v/>
      </c>
      <c r="K295" s="67">
        <f>K294-$K$2*V294</f>
        <v/>
      </c>
      <c r="L295" s="67">
        <f>L294-$K$2*W294</f>
        <v/>
      </c>
      <c r="M295" s="67">
        <f>M294-$K$2*X294</f>
        <v/>
      </c>
      <c r="N295" s="67">
        <f>I295+J295*C295+K295*D295+L295*E295+F295*M295</f>
        <v/>
      </c>
      <c r="O295" s="67">
        <f>1/(1+EXP(-N295))</f>
        <v/>
      </c>
      <c r="P295" s="68">
        <f>IF(O295&gt;0.5,1,0)</f>
        <v/>
      </c>
      <c r="Q295" s="68">
        <f>O295-G295</f>
        <v/>
      </c>
      <c r="R295" s="69">
        <f>Q295^2</f>
        <v/>
      </c>
      <c r="S295">
        <f>IF(P295=G295,1,0)</f>
        <v/>
      </c>
      <c r="T295">
        <f>2*(O295-G295)*(1-O295)*O295</f>
        <v/>
      </c>
      <c r="U295">
        <f>2*(O295-G295)*(1-O295)*O295*C295</f>
        <v/>
      </c>
      <c r="V295">
        <f>2*(O295-G295)*(1-O295)*O295*D295</f>
        <v/>
      </c>
      <c r="W295">
        <f>2*(O295-G295)*(1-O295)*O295*E295</f>
        <v/>
      </c>
      <c r="X295">
        <f>2*(O295-G295)*(1-O295)*O295*F295</f>
        <v/>
      </c>
    </row>
    <row r="296" ht="14.25" customHeight="1" s="96">
      <c r="B296" s="66" t="n">
        <v>52</v>
      </c>
      <c r="C296" s="79" t="n">
        <v>5.9</v>
      </c>
      <c r="D296" s="67" t="n">
        <v>3</v>
      </c>
      <c r="E296" s="67" t="n">
        <v>4.2</v>
      </c>
      <c r="F296" s="67" t="n">
        <v>1.5</v>
      </c>
      <c r="G296" s="80" t="n">
        <v>1</v>
      </c>
      <c r="I296" s="66">
        <f>I295-$K$2*T295</f>
        <v/>
      </c>
      <c r="J296" s="67">
        <f>J295-$K$2*U295</f>
        <v/>
      </c>
      <c r="K296" s="67">
        <f>K295-$K$2*V295</f>
        <v/>
      </c>
      <c r="L296" s="67">
        <f>L295-$K$2*W295</f>
        <v/>
      </c>
      <c r="M296" s="67">
        <f>M295-$K$2*X295</f>
        <v/>
      </c>
      <c r="N296" s="67">
        <f>I296+J296*C296+K296*D296+L296*E296+F296*M296</f>
        <v/>
      </c>
      <c r="O296" s="67">
        <f>1/(1+EXP(-N296))</f>
        <v/>
      </c>
      <c r="P296" s="68">
        <f>IF(O296&gt;0.5,1,0)</f>
        <v/>
      </c>
      <c r="Q296" s="68">
        <f>O296-G296</f>
        <v/>
      </c>
      <c r="R296" s="69">
        <f>Q296^2</f>
        <v/>
      </c>
      <c r="S296">
        <f>IF(P296=G296,1,0)</f>
        <v/>
      </c>
      <c r="T296">
        <f>2*(O296-G296)*(1-O296)*O296</f>
        <v/>
      </c>
      <c r="U296">
        <f>2*(O296-G296)*(1-O296)*O296*C296</f>
        <v/>
      </c>
      <c r="V296">
        <f>2*(O296-G296)*(1-O296)*O296*D296</f>
        <v/>
      </c>
      <c r="W296">
        <f>2*(O296-G296)*(1-O296)*O296*E296</f>
        <v/>
      </c>
      <c r="X296">
        <f>2*(O296-G296)*(1-O296)*O296*F296</f>
        <v/>
      </c>
    </row>
    <row r="297" ht="14.25" customHeight="1" s="96">
      <c r="B297" s="66" t="n">
        <v>53</v>
      </c>
      <c r="C297" s="79" t="n">
        <v>6</v>
      </c>
      <c r="D297" s="67" t="n">
        <v>2.2</v>
      </c>
      <c r="E297" s="67" t="n">
        <v>4</v>
      </c>
      <c r="F297" s="67" t="n">
        <v>1</v>
      </c>
      <c r="G297" s="80" t="n">
        <v>1</v>
      </c>
      <c r="I297" s="66">
        <f>I296-$K$2*T296</f>
        <v/>
      </c>
      <c r="J297" s="67">
        <f>J296-$K$2*U296</f>
        <v/>
      </c>
      <c r="K297" s="67">
        <f>K296-$K$2*V296</f>
        <v/>
      </c>
      <c r="L297" s="67">
        <f>L296-$K$2*W296</f>
        <v/>
      </c>
      <c r="M297" s="67">
        <f>M296-$K$2*X296</f>
        <v/>
      </c>
      <c r="N297" s="67">
        <f>I297+J297*C297+K297*D297+L297*E297+F297*M297</f>
        <v/>
      </c>
      <c r="O297" s="67">
        <f>1/(1+EXP(-N297))</f>
        <v/>
      </c>
      <c r="P297" s="68">
        <f>IF(O297&gt;0.5,1,0)</f>
        <v/>
      </c>
      <c r="Q297" s="68">
        <f>O297-G297</f>
        <v/>
      </c>
      <c r="R297" s="69">
        <f>Q297^2</f>
        <v/>
      </c>
      <c r="S297">
        <f>IF(P297=G297,1,0)</f>
        <v/>
      </c>
      <c r="T297">
        <f>2*(O297-G297)*(1-O297)*O297</f>
        <v/>
      </c>
      <c r="U297">
        <f>2*(O297-G297)*(1-O297)*O297*C297</f>
        <v/>
      </c>
      <c r="V297">
        <f>2*(O297-G297)*(1-O297)*O297*D297</f>
        <v/>
      </c>
      <c r="W297">
        <f>2*(O297-G297)*(1-O297)*O297*E297</f>
        <v/>
      </c>
      <c r="X297">
        <f>2*(O297-G297)*(1-O297)*O297*F297</f>
        <v/>
      </c>
    </row>
    <row r="298" ht="14.25" customHeight="1" s="96">
      <c r="B298" s="66" t="n">
        <v>54</v>
      </c>
      <c r="C298" s="79" t="n">
        <v>6.1</v>
      </c>
      <c r="D298" s="67" t="n">
        <v>2.9</v>
      </c>
      <c r="E298" s="67" t="n">
        <v>4.7</v>
      </c>
      <c r="F298" s="67" t="n">
        <v>1.4</v>
      </c>
      <c r="G298" s="80" t="n">
        <v>1</v>
      </c>
      <c r="I298" s="66">
        <f>I297-$K$2*T297</f>
        <v/>
      </c>
      <c r="J298" s="67">
        <f>J297-$K$2*U297</f>
        <v/>
      </c>
      <c r="K298" s="67">
        <f>K297-$K$2*V297</f>
        <v/>
      </c>
      <c r="L298" s="67">
        <f>L297-$K$2*W297</f>
        <v/>
      </c>
      <c r="M298" s="67">
        <f>M297-$K$2*X297</f>
        <v/>
      </c>
      <c r="N298" s="67">
        <f>I298+J298*C298+K298*D298+L298*E298+F298*M298</f>
        <v/>
      </c>
      <c r="O298" s="67">
        <f>1/(1+EXP(-N298))</f>
        <v/>
      </c>
      <c r="P298" s="68">
        <f>IF(O298&gt;0.5,1,0)</f>
        <v/>
      </c>
      <c r="Q298" s="68">
        <f>O298-G298</f>
        <v/>
      </c>
      <c r="R298" s="69">
        <f>Q298^2</f>
        <v/>
      </c>
      <c r="S298">
        <f>IF(P298=G298,1,0)</f>
        <v/>
      </c>
      <c r="T298">
        <f>2*(O298-G298)*(1-O298)*O298</f>
        <v/>
      </c>
      <c r="U298">
        <f>2*(O298-G298)*(1-O298)*O298*C298</f>
        <v/>
      </c>
      <c r="V298">
        <f>2*(O298-G298)*(1-O298)*O298*D298</f>
        <v/>
      </c>
      <c r="W298">
        <f>2*(O298-G298)*(1-O298)*O298*E298</f>
        <v/>
      </c>
      <c r="X298">
        <f>2*(O298-G298)*(1-O298)*O298*F298</f>
        <v/>
      </c>
    </row>
    <row r="299" ht="14.25" customHeight="1" s="96">
      <c r="B299" s="66" t="n">
        <v>55</v>
      </c>
      <c r="C299" s="79" t="n">
        <v>5.6</v>
      </c>
      <c r="D299" s="67" t="n">
        <v>2.9</v>
      </c>
      <c r="E299" s="67" t="n">
        <v>3.6</v>
      </c>
      <c r="F299" s="67" t="n">
        <v>1.3</v>
      </c>
      <c r="G299" s="80" t="n">
        <v>1</v>
      </c>
      <c r="I299" s="66">
        <f>I298-$K$2*T298</f>
        <v/>
      </c>
      <c r="J299" s="67">
        <f>J298-$K$2*U298</f>
        <v/>
      </c>
      <c r="K299" s="67">
        <f>K298-$K$2*V298</f>
        <v/>
      </c>
      <c r="L299" s="67">
        <f>L298-$K$2*W298</f>
        <v/>
      </c>
      <c r="M299" s="67">
        <f>M298-$K$2*X298</f>
        <v/>
      </c>
      <c r="N299" s="67">
        <f>I299+J299*C299+K299*D299+L299*E299+F299*M299</f>
        <v/>
      </c>
      <c r="O299" s="67">
        <f>1/(1+EXP(-N299))</f>
        <v/>
      </c>
      <c r="P299" s="68">
        <f>IF(O299&gt;0.5,1,0)</f>
        <v/>
      </c>
      <c r="Q299" s="68">
        <f>O299-G299</f>
        <v/>
      </c>
      <c r="R299" s="69">
        <f>Q299^2</f>
        <v/>
      </c>
      <c r="S299">
        <f>IF(P299=G299,1,0)</f>
        <v/>
      </c>
      <c r="T299">
        <f>2*(O299-G299)*(1-O299)*O299</f>
        <v/>
      </c>
      <c r="U299">
        <f>2*(O299-G299)*(1-O299)*O299*C299</f>
        <v/>
      </c>
      <c r="V299">
        <f>2*(O299-G299)*(1-O299)*O299*D299</f>
        <v/>
      </c>
      <c r="W299">
        <f>2*(O299-G299)*(1-O299)*O299*E299</f>
        <v/>
      </c>
      <c r="X299">
        <f>2*(O299-G299)*(1-O299)*O299*F299</f>
        <v/>
      </c>
    </row>
    <row r="300" ht="14.25" customHeight="1" s="96">
      <c r="B300" s="66" t="n">
        <v>56</v>
      </c>
      <c r="C300" s="79" t="n">
        <v>6.7</v>
      </c>
      <c r="D300" s="67" t="n">
        <v>3.1</v>
      </c>
      <c r="E300" s="67" t="n">
        <v>4.4</v>
      </c>
      <c r="F300" s="67" t="n">
        <v>1.4</v>
      </c>
      <c r="G300" s="80" t="n">
        <v>1</v>
      </c>
      <c r="I300" s="66">
        <f>I299-$K$2*T299</f>
        <v/>
      </c>
      <c r="J300" s="67">
        <f>J299-$K$2*U299</f>
        <v/>
      </c>
      <c r="K300" s="67">
        <f>K299-$K$2*V299</f>
        <v/>
      </c>
      <c r="L300" s="67">
        <f>L299-$K$2*W299</f>
        <v/>
      </c>
      <c r="M300" s="67">
        <f>M299-$K$2*X299</f>
        <v/>
      </c>
      <c r="N300" s="67">
        <f>I300+J300*C300+K300*D300+L300*E300+F300*M300</f>
        <v/>
      </c>
      <c r="O300" s="67">
        <f>1/(1+EXP(-N300))</f>
        <v/>
      </c>
      <c r="P300" s="68">
        <f>IF(O300&gt;0.5,1,0)</f>
        <v/>
      </c>
      <c r="Q300" s="68">
        <f>O300-G300</f>
        <v/>
      </c>
      <c r="R300" s="69">
        <f>Q300^2</f>
        <v/>
      </c>
      <c r="S300">
        <f>IF(P300=G300,1,0)</f>
        <v/>
      </c>
      <c r="T300">
        <f>2*(O300-G300)*(1-O300)*O300</f>
        <v/>
      </c>
      <c r="U300">
        <f>2*(O300-G300)*(1-O300)*O300*C300</f>
        <v/>
      </c>
      <c r="V300">
        <f>2*(O300-G300)*(1-O300)*O300*D300</f>
        <v/>
      </c>
      <c r="W300">
        <f>2*(O300-G300)*(1-O300)*O300*E300</f>
        <v/>
      </c>
      <c r="X300">
        <f>2*(O300-G300)*(1-O300)*O300*F300</f>
        <v/>
      </c>
    </row>
    <row r="301" ht="14.25" customHeight="1" s="96">
      <c r="B301" s="66" t="n">
        <v>57</v>
      </c>
      <c r="C301" s="79" t="n">
        <v>5.6</v>
      </c>
      <c r="D301" s="67" t="n">
        <v>3</v>
      </c>
      <c r="E301" s="67" t="n">
        <v>4.5</v>
      </c>
      <c r="F301" s="67" t="n">
        <v>1.5</v>
      </c>
      <c r="G301" s="80" t="n">
        <v>1</v>
      </c>
      <c r="I301" s="66">
        <f>I300-$K$2*T300</f>
        <v/>
      </c>
      <c r="J301" s="67">
        <f>J300-$K$2*U300</f>
        <v/>
      </c>
      <c r="K301" s="67">
        <f>K300-$K$2*V300</f>
        <v/>
      </c>
      <c r="L301" s="67">
        <f>L300-$K$2*W300</f>
        <v/>
      </c>
      <c r="M301" s="67">
        <f>M300-$K$2*X300</f>
        <v/>
      </c>
      <c r="N301" s="67">
        <f>I301+J301*C301+K301*D301+L301*E301+F301*M301</f>
        <v/>
      </c>
      <c r="O301" s="67">
        <f>1/(1+EXP(-N301))</f>
        <v/>
      </c>
      <c r="P301" s="68">
        <f>IF(O301&gt;0.5,1,0)</f>
        <v/>
      </c>
      <c r="Q301" s="68">
        <f>O301-G301</f>
        <v/>
      </c>
      <c r="R301" s="69">
        <f>Q301^2</f>
        <v/>
      </c>
      <c r="S301">
        <f>IF(P301=G301,1,0)</f>
        <v/>
      </c>
      <c r="T301">
        <f>2*(O301-G301)*(1-O301)*O301</f>
        <v/>
      </c>
      <c r="U301">
        <f>2*(O301-G301)*(1-O301)*O301*C301</f>
        <v/>
      </c>
      <c r="V301">
        <f>2*(O301-G301)*(1-O301)*O301*D301</f>
        <v/>
      </c>
      <c r="W301">
        <f>2*(O301-G301)*(1-O301)*O301*E301</f>
        <v/>
      </c>
      <c r="X301">
        <f>2*(O301-G301)*(1-O301)*O301*F301</f>
        <v/>
      </c>
    </row>
    <row r="302" ht="14.25" customHeight="1" s="96">
      <c r="B302" s="66" t="n">
        <v>58</v>
      </c>
      <c r="C302" s="79" t="n">
        <v>5.8</v>
      </c>
      <c r="D302" s="67" t="n">
        <v>2.7</v>
      </c>
      <c r="E302" s="67" t="n">
        <v>4.1</v>
      </c>
      <c r="F302" s="67" t="n">
        <v>1</v>
      </c>
      <c r="G302" s="80" t="n">
        <v>1</v>
      </c>
      <c r="I302" s="66">
        <f>I301-$K$2*T301</f>
        <v/>
      </c>
      <c r="J302" s="67">
        <f>J301-$K$2*U301</f>
        <v/>
      </c>
      <c r="K302" s="67">
        <f>K301-$K$2*V301</f>
        <v/>
      </c>
      <c r="L302" s="67">
        <f>L301-$K$2*W301</f>
        <v/>
      </c>
      <c r="M302" s="67">
        <f>M301-$K$2*X301</f>
        <v/>
      </c>
      <c r="N302" s="67">
        <f>I302+J302*C302+K302*D302+L302*E302+F302*M302</f>
        <v/>
      </c>
      <c r="O302" s="67">
        <f>1/(1+EXP(-N302))</f>
        <v/>
      </c>
      <c r="P302" s="68">
        <f>IF(O302&gt;0.5,1,0)</f>
        <v/>
      </c>
      <c r="Q302" s="68">
        <f>O302-G302</f>
        <v/>
      </c>
      <c r="R302" s="69">
        <f>Q302^2</f>
        <v/>
      </c>
      <c r="S302">
        <f>IF(P302=G302,1,0)</f>
        <v/>
      </c>
      <c r="T302">
        <f>2*(O302-G302)*(1-O302)*O302</f>
        <v/>
      </c>
      <c r="U302">
        <f>2*(O302-G302)*(1-O302)*O302*C302</f>
        <v/>
      </c>
      <c r="V302">
        <f>2*(O302-G302)*(1-O302)*O302*D302</f>
        <v/>
      </c>
      <c r="W302">
        <f>2*(O302-G302)*(1-O302)*O302*E302</f>
        <v/>
      </c>
      <c r="X302">
        <f>2*(O302-G302)*(1-O302)*O302*F302</f>
        <v/>
      </c>
    </row>
    <row r="303" ht="14.25" customHeight="1" s="96">
      <c r="B303" s="66" t="n">
        <v>59</v>
      </c>
      <c r="C303" s="79" t="n">
        <v>6.2</v>
      </c>
      <c r="D303" s="67" t="n">
        <v>2.2</v>
      </c>
      <c r="E303" s="67" t="n">
        <v>4.5</v>
      </c>
      <c r="F303" s="67" t="n">
        <v>1.5</v>
      </c>
      <c r="G303" s="80" t="n">
        <v>1</v>
      </c>
      <c r="I303" s="66">
        <f>I302-$K$2*T302</f>
        <v/>
      </c>
      <c r="J303" s="67">
        <f>J302-$K$2*U302</f>
        <v/>
      </c>
      <c r="K303" s="67">
        <f>K302-$K$2*V302</f>
        <v/>
      </c>
      <c r="L303" s="67">
        <f>L302-$K$2*W302</f>
        <v/>
      </c>
      <c r="M303" s="67">
        <f>M302-$K$2*X302</f>
        <v/>
      </c>
      <c r="N303" s="67">
        <f>I303+J303*C303+K303*D303+L303*E303+F303*M303</f>
        <v/>
      </c>
      <c r="O303" s="67">
        <f>1/(1+EXP(-N303))</f>
        <v/>
      </c>
      <c r="P303" s="68">
        <f>IF(O303&gt;0.5,1,0)</f>
        <v/>
      </c>
      <c r="Q303" s="68">
        <f>O303-G303</f>
        <v/>
      </c>
      <c r="R303" s="69">
        <f>Q303^2</f>
        <v/>
      </c>
      <c r="S303">
        <f>IF(P303=G303,1,0)</f>
        <v/>
      </c>
      <c r="T303">
        <f>2*(O303-G303)*(1-O303)*O303</f>
        <v/>
      </c>
      <c r="U303">
        <f>2*(O303-G303)*(1-O303)*O303*C303</f>
        <v/>
      </c>
      <c r="V303">
        <f>2*(O303-G303)*(1-O303)*O303*D303</f>
        <v/>
      </c>
      <c r="W303">
        <f>2*(O303-G303)*(1-O303)*O303*E303</f>
        <v/>
      </c>
      <c r="X303">
        <f>2*(O303-G303)*(1-O303)*O303*F303</f>
        <v/>
      </c>
    </row>
    <row r="304" ht="14.25" customHeight="1" s="96">
      <c r="B304" s="66" t="n">
        <v>60</v>
      </c>
      <c r="C304" s="79" t="n">
        <v>5.6</v>
      </c>
      <c r="D304" s="67" t="n">
        <v>2.5</v>
      </c>
      <c r="E304" s="67" t="n">
        <v>3.9</v>
      </c>
      <c r="F304" s="67" t="n">
        <v>1.1</v>
      </c>
      <c r="G304" s="80" t="n">
        <v>1</v>
      </c>
      <c r="I304" s="66">
        <f>I303-$K$2*T303</f>
        <v/>
      </c>
      <c r="J304" s="67">
        <f>J303-$K$2*U303</f>
        <v/>
      </c>
      <c r="K304" s="67">
        <f>K303-$K$2*V303</f>
        <v/>
      </c>
      <c r="L304" s="67">
        <f>L303-$K$2*W303</f>
        <v/>
      </c>
      <c r="M304" s="67">
        <f>M303-$K$2*X303</f>
        <v/>
      </c>
      <c r="N304" s="67">
        <f>I304+J304*C304+K304*D304+L304*E304+F304*M304</f>
        <v/>
      </c>
      <c r="O304" s="67">
        <f>1/(1+EXP(-N304))</f>
        <v/>
      </c>
      <c r="P304" s="68">
        <f>IF(O304&gt;0.5,1,0)</f>
        <v/>
      </c>
      <c r="Q304" s="68">
        <f>O304-G304</f>
        <v/>
      </c>
      <c r="R304" s="69">
        <f>Q304^2</f>
        <v/>
      </c>
      <c r="S304">
        <f>IF(P304=G304,1,0)</f>
        <v/>
      </c>
      <c r="T304">
        <f>2*(O304-G304)*(1-O304)*O304</f>
        <v/>
      </c>
      <c r="U304">
        <f>2*(O304-G304)*(1-O304)*O304*C304</f>
        <v/>
      </c>
      <c r="V304">
        <f>2*(O304-G304)*(1-O304)*O304*D304</f>
        <v/>
      </c>
      <c r="W304">
        <f>2*(O304-G304)*(1-O304)*O304*E304</f>
        <v/>
      </c>
      <c r="X304">
        <f>2*(O304-G304)*(1-O304)*O304*F304</f>
        <v/>
      </c>
    </row>
    <row r="305" ht="14.25" customHeight="1" s="96">
      <c r="B305" s="66" t="n">
        <v>61</v>
      </c>
      <c r="C305" s="79" t="n">
        <v>5.9</v>
      </c>
      <c r="D305" s="67" t="n">
        <v>3.2</v>
      </c>
      <c r="E305" s="67" t="n">
        <v>4.8</v>
      </c>
      <c r="F305" s="67" t="n">
        <v>1.8</v>
      </c>
      <c r="G305" s="80" t="n">
        <v>1</v>
      </c>
      <c r="I305" s="66">
        <f>I304-$K$2*T304</f>
        <v/>
      </c>
      <c r="J305" s="67">
        <f>J304-$K$2*U304</f>
        <v/>
      </c>
      <c r="K305" s="67">
        <f>K304-$K$2*V304</f>
        <v/>
      </c>
      <c r="L305" s="67">
        <f>L304-$K$2*W304</f>
        <v/>
      </c>
      <c r="M305" s="67">
        <f>M304-$K$2*X304</f>
        <v/>
      </c>
      <c r="N305" s="67">
        <f>I305+J305*C305+K305*D305+L305*E305+F305*M305</f>
        <v/>
      </c>
      <c r="O305" s="67">
        <f>1/(1+EXP(-N305))</f>
        <v/>
      </c>
      <c r="P305" s="68">
        <f>IF(O305&gt;0.5,1,0)</f>
        <v/>
      </c>
      <c r="Q305" s="68">
        <f>O305-G305</f>
        <v/>
      </c>
      <c r="R305" s="69">
        <f>Q305^2</f>
        <v/>
      </c>
      <c r="S305">
        <f>IF(P305=G305,1,0)</f>
        <v/>
      </c>
      <c r="T305">
        <f>2*(O305-G305)*(1-O305)*O305</f>
        <v/>
      </c>
      <c r="U305">
        <f>2*(O305-G305)*(1-O305)*O305*C305</f>
        <v/>
      </c>
      <c r="V305">
        <f>2*(O305-G305)*(1-O305)*O305*D305</f>
        <v/>
      </c>
      <c r="W305">
        <f>2*(O305-G305)*(1-O305)*O305*E305</f>
        <v/>
      </c>
      <c r="X305">
        <f>2*(O305-G305)*(1-O305)*O305*F305</f>
        <v/>
      </c>
    </row>
    <row r="306" ht="14.25" customHeight="1" s="96">
      <c r="B306" s="66" t="n">
        <v>62</v>
      </c>
      <c r="C306" s="79" t="n">
        <v>6.1</v>
      </c>
      <c r="D306" s="67" t="n">
        <v>2.8</v>
      </c>
      <c r="E306" s="67" t="n">
        <v>4</v>
      </c>
      <c r="F306" s="67" t="n">
        <v>1.3</v>
      </c>
      <c r="G306" s="80" t="n">
        <v>1</v>
      </c>
      <c r="I306" s="66">
        <f>I305-$K$2*T305</f>
        <v/>
      </c>
      <c r="J306" s="67">
        <f>J305-$K$2*U305</f>
        <v/>
      </c>
      <c r="K306" s="67">
        <f>K305-$K$2*V305</f>
        <v/>
      </c>
      <c r="L306" s="67">
        <f>L305-$K$2*W305</f>
        <v/>
      </c>
      <c r="M306" s="67">
        <f>M305-$K$2*X305</f>
        <v/>
      </c>
      <c r="N306" s="67">
        <f>I306+J306*C306+K306*D306+L306*E306+F306*M306</f>
        <v/>
      </c>
      <c r="O306" s="67">
        <f>1/(1+EXP(-N306))</f>
        <v/>
      </c>
      <c r="P306" s="68">
        <f>IF(O306&gt;0.5,1,0)</f>
        <v/>
      </c>
      <c r="Q306" s="68">
        <f>O306-G306</f>
        <v/>
      </c>
      <c r="R306" s="69">
        <f>Q306^2</f>
        <v/>
      </c>
      <c r="S306">
        <f>IF(P306=G306,1,0)</f>
        <v/>
      </c>
      <c r="T306">
        <f>2*(O306-G306)*(1-O306)*O306</f>
        <v/>
      </c>
      <c r="U306">
        <f>2*(O306-G306)*(1-O306)*O306*C306</f>
        <v/>
      </c>
      <c r="V306">
        <f>2*(O306-G306)*(1-O306)*O306*D306</f>
        <v/>
      </c>
      <c r="W306">
        <f>2*(O306-G306)*(1-O306)*O306*E306</f>
        <v/>
      </c>
      <c r="X306">
        <f>2*(O306-G306)*(1-O306)*O306*F306</f>
        <v/>
      </c>
    </row>
    <row r="307" ht="14.25" customHeight="1" s="96">
      <c r="B307" s="66" t="n">
        <v>63</v>
      </c>
      <c r="C307" s="79" t="n">
        <v>6.3</v>
      </c>
      <c r="D307" s="67" t="n">
        <v>2.5</v>
      </c>
      <c r="E307" s="67" t="n">
        <v>4.9</v>
      </c>
      <c r="F307" s="67" t="n">
        <v>1.5</v>
      </c>
      <c r="G307" s="80" t="n">
        <v>1</v>
      </c>
      <c r="I307" s="66">
        <f>I306-$K$2*T306</f>
        <v/>
      </c>
      <c r="J307" s="67">
        <f>J306-$K$2*U306</f>
        <v/>
      </c>
      <c r="K307" s="67">
        <f>K306-$K$2*V306</f>
        <v/>
      </c>
      <c r="L307" s="67">
        <f>L306-$K$2*W306</f>
        <v/>
      </c>
      <c r="M307" s="67">
        <f>M306-$K$2*X306</f>
        <v/>
      </c>
      <c r="N307" s="67">
        <f>I307+J307*C307+K307*D307+L307*E307+F307*M307</f>
        <v/>
      </c>
      <c r="O307" s="67">
        <f>1/(1+EXP(-N307))</f>
        <v/>
      </c>
      <c r="P307" s="68">
        <f>IF(O307&gt;0.5,1,0)</f>
        <v/>
      </c>
      <c r="Q307" s="68">
        <f>O307-G307</f>
        <v/>
      </c>
      <c r="R307" s="69">
        <f>Q307^2</f>
        <v/>
      </c>
      <c r="S307">
        <f>IF(P307=G307,1,0)</f>
        <v/>
      </c>
      <c r="T307">
        <f>2*(O307-G307)*(1-O307)*O307</f>
        <v/>
      </c>
      <c r="U307">
        <f>2*(O307-G307)*(1-O307)*O307*C307</f>
        <v/>
      </c>
      <c r="V307">
        <f>2*(O307-G307)*(1-O307)*O307*D307</f>
        <v/>
      </c>
      <c r="W307">
        <f>2*(O307-G307)*(1-O307)*O307*E307</f>
        <v/>
      </c>
      <c r="X307">
        <f>2*(O307-G307)*(1-O307)*O307*F307</f>
        <v/>
      </c>
    </row>
    <row r="308" ht="14.25" customHeight="1" s="96">
      <c r="B308" s="66" t="n">
        <v>64</v>
      </c>
      <c r="C308" s="79" t="n">
        <v>6.1</v>
      </c>
      <c r="D308" s="67" t="n">
        <v>2.8</v>
      </c>
      <c r="E308" s="67" t="n">
        <v>4.7</v>
      </c>
      <c r="F308" s="67" t="n">
        <v>1.2</v>
      </c>
      <c r="G308" s="80" t="n">
        <v>1</v>
      </c>
      <c r="I308" s="66">
        <f>I307-$K$2*T307</f>
        <v/>
      </c>
      <c r="J308" s="67">
        <f>J307-$K$2*U307</f>
        <v/>
      </c>
      <c r="K308" s="67">
        <f>K307-$K$2*V307</f>
        <v/>
      </c>
      <c r="L308" s="67">
        <f>L307-$K$2*W307</f>
        <v/>
      </c>
      <c r="M308" s="67">
        <f>M307-$K$2*X307</f>
        <v/>
      </c>
      <c r="N308" s="67">
        <f>I308+J308*C308+K308*D308+L308*E308+F308*M308</f>
        <v/>
      </c>
      <c r="O308" s="67">
        <f>1/(1+EXP(-N308))</f>
        <v/>
      </c>
      <c r="P308" s="68">
        <f>IF(O308&gt;0.5,1,0)</f>
        <v/>
      </c>
      <c r="Q308" s="68">
        <f>O308-G308</f>
        <v/>
      </c>
      <c r="R308" s="69">
        <f>Q308^2</f>
        <v/>
      </c>
      <c r="S308">
        <f>IF(P308=G308,1,0)</f>
        <v/>
      </c>
      <c r="T308">
        <f>2*(O308-G308)*(1-O308)*O308</f>
        <v/>
      </c>
      <c r="U308">
        <f>2*(O308-G308)*(1-O308)*O308*C308</f>
        <v/>
      </c>
      <c r="V308">
        <f>2*(O308-G308)*(1-O308)*O308*D308</f>
        <v/>
      </c>
      <c r="W308">
        <f>2*(O308-G308)*(1-O308)*O308*E308</f>
        <v/>
      </c>
      <c r="X308">
        <f>2*(O308-G308)*(1-O308)*O308*F308</f>
        <v/>
      </c>
    </row>
    <row r="309" ht="14.25" customHeight="1" s="96">
      <c r="B309" s="66" t="n">
        <v>65</v>
      </c>
      <c r="C309" s="79" t="n">
        <v>6.4</v>
      </c>
      <c r="D309" s="67" t="n">
        <v>2.9</v>
      </c>
      <c r="E309" s="67" t="n">
        <v>4.3</v>
      </c>
      <c r="F309" s="67" t="n">
        <v>1.3</v>
      </c>
      <c r="G309" s="80" t="n">
        <v>1</v>
      </c>
      <c r="I309" s="66">
        <f>I308-$K$2*T308</f>
        <v/>
      </c>
      <c r="J309" s="67">
        <f>J308-$K$2*U308</f>
        <v/>
      </c>
      <c r="K309" s="67">
        <f>K308-$K$2*V308</f>
        <v/>
      </c>
      <c r="L309" s="67">
        <f>L308-$K$2*W308</f>
        <v/>
      </c>
      <c r="M309" s="67">
        <f>M308-$K$2*X308</f>
        <v/>
      </c>
      <c r="N309" s="67">
        <f>I309+J309*C309+K309*D309+L309*E309+F309*M309</f>
        <v/>
      </c>
      <c r="O309" s="67">
        <f>1/(1+EXP(-N309))</f>
        <v/>
      </c>
      <c r="P309" s="68">
        <f>IF(O309&gt;0.5,1,0)</f>
        <v/>
      </c>
      <c r="Q309" s="68">
        <f>O309-G309</f>
        <v/>
      </c>
      <c r="R309" s="69">
        <f>Q309^2</f>
        <v/>
      </c>
      <c r="S309">
        <f>IF(P309=G309,1,0)</f>
        <v/>
      </c>
      <c r="T309">
        <f>2*(O309-G309)*(1-O309)*O309</f>
        <v/>
      </c>
      <c r="U309">
        <f>2*(O309-G309)*(1-O309)*O309*C309</f>
        <v/>
      </c>
      <c r="V309">
        <f>2*(O309-G309)*(1-O309)*O309*D309</f>
        <v/>
      </c>
      <c r="W309">
        <f>2*(O309-G309)*(1-O309)*O309*E309</f>
        <v/>
      </c>
      <c r="X309">
        <f>2*(O309-G309)*(1-O309)*O309*F309</f>
        <v/>
      </c>
    </row>
    <row r="310" ht="14.25" customHeight="1" s="96">
      <c r="B310" s="66" t="n">
        <v>66</v>
      </c>
      <c r="C310" s="79" t="n">
        <v>6.6</v>
      </c>
      <c r="D310" s="67" t="n">
        <v>3</v>
      </c>
      <c r="E310" s="67" t="n">
        <v>4.4</v>
      </c>
      <c r="F310" s="67" t="n">
        <v>1.4</v>
      </c>
      <c r="G310" s="80" t="n">
        <v>1</v>
      </c>
      <c r="I310" s="66">
        <f>I309-$K$2*T309</f>
        <v/>
      </c>
      <c r="J310" s="67">
        <f>J309-$K$2*U309</f>
        <v/>
      </c>
      <c r="K310" s="67">
        <f>K309-$K$2*V309</f>
        <v/>
      </c>
      <c r="L310" s="67">
        <f>L309-$K$2*W309</f>
        <v/>
      </c>
      <c r="M310" s="67">
        <f>M309-$K$2*X309</f>
        <v/>
      </c>
      <c r="N310" s="67">
        <f>I310+J310*C310+K310*D310+L310*E310+F310*M310</f>
        <v/>
      </c>
      <c r="O310" s="67">
        <f>1/(1+EXP(-N310))</f>
        <v/>
      </c>
      <c r="P310" s="68">
        <f>IF(O310&gt;0.5,1,0)</f>
        <v/>
      </c>
      <c r="Q310" s="68">
        <f>O310-G310</f>
        <v/>
      </c>
      <c r="R310" s="69">
        <f>Q310^2</f>
        <v/>
      </c>
      <c r="S310">
        <f>IF(P310=G310,1,0)</f>
        <v/>
      </c>
      <c r="T310">
        <f>2*(O310-G310)*(1-O310)*O310</f>
        <v/>
      </c>
      <c r="U310">
        <f>2*(O310-G310)*(1-O310)*O310*C310</f>
        <v/>
      </c>
      <c r="V310">
        <f>2*(O310-G310)*(1-O310)*O310*D310</f>
        <v/>
      </c>
      <c r="W310">
        <f>2*(O310-G310)*(1-O310)*O310*E310</f>
        <v/>
      </c>
      <c r="X310">
        <f>2*(O310-G310)*(1-O310)*O310*F310</f>
        <v/>
      </c>
    </row>
    <row r="311" ht="14.25" customHeight="1" s="96">
      <c r="B311" s="66" t="n">
        <v>67</v>
      </c>
      <c r="C311" s="79" t="n">
        <v>6.8</v>
      </c>
      <c r="D311" s="67" t="n">
        <v>2.8</v>
      </c>
      <c r="E311" s="67" t="n">
        <v>4.8</v>
      </c>
      <c r="F311" s="67" t="n">
        <v>1.4</v>
      </c>
      <c r="G311" s="80" t="n">
        <v>1</v>
      </c>
      <c r="I311" s="66">
        <f>I310-$K$2*T310</f>
        <v/>
      </c>
      <c r="J311" s="67">
        <f>J310-$K$2*U310</f>
        <v/>
      </c>
      <c r="K311" s="67">
        <f>K310-$K$2*V310</f>
        <v/>
      </c>
      <c r="L311" s="67">
        <f>L310-$K$2*W310</f>
        <v/>
      </c>
      <c r="M311" s="67">
        <f>M310-$K$2*X310</f>
        <v/>
      </c>
      <c r="N311" s="67">
        <f>I311+J311*C311+K311*D311+L311*E311+F311*M311</f>
        <v/>
      </c>
      <c r="O311" s="67">
        <f>1/(1+EXP(-N311))</f>
        <v/>
      </c>
      <c r="P311" s="68">
        <f>IF(O311&gt;0.5,1,0)</f>
        <v/>
      </c>
      <c r="Q311" s="68">
        <f>O311-G311</f>
        <v/>
      </c>
      <c r="R311" s="69">
        <f>Q311^2</f>
        <v/>
      </c>
      <c r="S311">
        <f>IF(P311=G311,1,0)</f>
        <v/>
      </c>
      <c r="T311">
        <f>2*(O311-G311)*(1-O311)*O311</f>
        <v/>
      </c>
      <c r="U311">
        <f>2*(O311-G311)*(1-O311)*O311*C311</f>
        <v/>
      </c>
      <c r="V311">
        <f>2*(O311-G311)*(1-O311)*O311*D311</f>
        <v/>
      </c>
      <c r="W311">
        <f>2*(O311-G311)*(1-O311)*O311*E311</f>
        <v/>
      </c>
      <c r="X311">
        <f>2*(O311-G311)*(1-O311)*O311*F311</f>
        <v/>
      </c>
    </row>
    <row r="312" ht="14.25" customHeight="1" s="96">
      <c r="B312" s="66" t="n">
        <v>68</v>
      </c>
      <c r="C312" s="79" t="n">
        <v>6.7</v>
      </c>
      <c r="D312" s="67" t="n">
        <v>3</v>
      </c>
      <c r="E312" s="67" t="n">
        <v>5</v>
      </c>
      <c r="F312" s="67" t="n">
        <v>1.7</v>
      </c>
      <c r="G312" s="80" t="n">
        <v>1</v>
      </c>
      <c r="I312" s="66">
        <f>I311-$K$2*T311</f>
        <v/>
      </c>
      <c r="J312" s="67">
        <f>J311-$K$2*U311</f>
        <v/>
      </c>
      <c r="K312" s="67">
        <f>K311-$K$2*V311</f>
        <v/>
      </c>
      <c r="L312" s="67">
        <f>L311-$K$2*W311</f>
        <v/>
      </c>
      <c r="M312" s="67">
        <f>M311-$K$2*X311</f>
        <v/>
      </c>
      <c r="N312" s="67">
        <f>I312+J312*C312+K312*D312+L312*E312+F312*M312</f>
        <v/>
      </c>
      <c r="O312" s="67">
        <f>1/(1+EXP(-N312))</f>
        <v/>
      </c>
      <c r="P312" s="68">
        <f>IF(O312&gt;0.5,1,0)</f>
        <v/>
      </c>
      <c r="Q312" s="68">
        <f>O312-G312</f>
        <v/>
      </c>
      <c r="R312" s="69">
        <f>Q312^2</f>
        <v/>
      </c>
      <c r="S312">
        <f>IF(P312=G312,1,0)</f>
        <v/>
      </c>
      <c r="T312">
        <f>2*(O312-G312)*(1-O312)*O312</f>
        <v/>
      </c>
      <c r="U312">
        <f>2*(O312-G312)*(1-O312)*O312*C312</f>
        <v/>
      </c>
      <c r="V312">
        <f>2*(O312-G312)*(1-O312)*O312*D312</f>
        <v/>
      </c>
      <c r="W312">
        <f>2*(O312-G312)*(1-O312)*O312*E312</f>
        <v/>
      </c>
      <c r="X312">
        <f>2*(O312-G312)*(1-O312)*O312*F312</f>
        <v/>
      </c>
    </row>
    <row r="313" ht="14.25" customHeight="1" s="96">
      <c r="B313" s="66" t="n">
        <v>69</v>
      </c>
      <c r="C313" s="79" t="n">
        <v>6</v>
      </c>
      <c r="D313" s="67" t="n">
        <v>2.9</v>
      </c>
      <c r="E313" s="67" t="n">
        <v>4.5</v>
      </c>
      <c r="F313" s="67" t="n">
        <v>1.5</v>
      </c>
      <c r="G313" s="80" t="n">
        <v>1</v>
      </c>
      <c r="I313" s="66">
        <f>I312-$K$2*T312</f>
        <v/>
      </c>
      <c r="J313" s="67">
        <f>J312-$K$2*U312</f>
        <v/>
      </c>
      <c r="K313" s="67">
        <f>K312-$K$2*V312</f>
        <v/>
      </c>
      <c r="L313" s="67">
        <f>L312-$K$2*W312</f>
        <v/>
      </c>
      <c r="M313" s="67">
        <f>M312-$K$2*X312</f>
        <v/>
      </c>
      <c r="N313" s="67">
        <f>I313+J313*C313+K313*D313+L313*E313+F313*M313</f>
        <v/>
      </c>
      <c r="O313" s="67">
        <f>1/(1+EXP(-N313))</f>
        <v/>
      </c>
      <c r="P313" s="68">
        <f>IF(O313&gt;0.5,1,0)</f>
        <v/>
      </c>
      <c r="Q313" s="68">
        <f>O313-G313</f>
        <v/>
      </c>
      <c r="R313" s="69">
        <f>Q313^2</f>
        <v/>
      </c>
      <c r="S313">
        <f>IF(P313=G313,1,0)</f>
        <v/>
      </c>
      <c r="T313">
        <f>2*(O313-G313)*(1-O313)*O313</f>
        <v/>
      </c>
      <c r="U313">
        <f>2*(O313-G313)*(1-O313)*O313*C313</f>
        <v/>
      </c>
      <c r="V313">
        <f>2*(O313-G313)*(1-O313)*O313*D313</f>
        <v/>
      </c>
      <c r="W313">
        <f>2*(O313-G313)*(1-O313)*O313*E313</f>
        <v/>
      </c>
      <c r="X313">
        <f>2*(O313-G313)*(1-O313)*O313*F313</f>
        <v/>
      </c>
    </row>
    <row r="314" ht="14.25" customHeight="1" s="96">
      <c r="B314" s="66" t="n">
        <v>70</v>
      </c>
      <c r="C314" s="79" t="n">
        <v>5.7</v>
      </c>
      <c r="D314" s="67" t="n">
        <v>2.6</v>
      </c>
      <c r="E314" s="67" t="n">
        <v>3.5</v>
      </c>
      <c r="F314" s="67" t="n">
        <v>1</v>
      </c>
      <c r="G314" s="80" t="n">
        <v>1</v>
      </c>
      <c r="I314" s="66">
        <f>I313-$K$2*T313</f>
        <v/>
      </c>
      <c r="J314" s="67">
        <f>J313-$K$2*U313</f>
        <v/>
      </c>
      <c r="K314" s="67">
        <f>K313-$K$2*V313</f>
        <v/>
      </c>
      <c r="L314" s="67">
        <f>L313-$K$2*W313</f>
        <v/>
      </c>
      <c r="M314" s="67">
        <f>M313-$K$2*X313</f>
        <v/>
      </c>
      <c r="N314" s="67">
        <f>I314+J314*C314+K314*D314+L314*E314+F314*M314</f>
        <v/>
      </c>
      <c r="O314" s="67">
        <f>1/(1+EXP(-N314))</f>
        <v/>
      </c>
      <c r="P314" s="68">
        <f>IF(O314&gt;0.5,1,0)</f>
        <v/>
      </c>
      <c r="Q314" s="68">
        <f>O314-G314</f>
        <v/>
      </c>
      <c r="R314" s="69">
        <f>Q314^2</f>
        <v/>
      </c>
      <c r="S314">
        <f>IF(P314=G314,1,0)</f>
        <v/>
      </c>
      <c r="T314">
        <f>2*(O314-G314)*(1-O314)*O314</f>
        <v/>
      </c>
      <c r="U314">
        <f>2*(O314-G314)*(1-O314)*O314*C314</f>
        <v/>
      </c>
      <c r="V314">
        <f>2*(O314-G314)*(1-O314)*O314*D314</f>
        <v/>
      </c>
      <c r="W314">
        <f>2*(O314-G314)*(1-O314)*O314*E314</f>
        <v/>
      </c>
      <c r="X314">
        <f>2*(O314-G314)*(1-O314)*O314*F314</f>
        <v/>
      </c>
    </row>
    <row r="315" ht="14.25" customHeight="1" s="96">
      <c r="B315" s="66" t="n">
        <v>71</v>
      </c>
      <c r="C315" s="79" t="n">
        <v>5.5</v>
      </c>
      <c r="D315" s="67" t="n">
        <v>2.4</v>
      </c>
      <c r="E315" s="67" t="n">
        <v>3.8</v>
      </c>
      <c r="F315" s="67" t="n">
        <v>1.1</v>
      </c>
      <c r="G315" s="80" t="n">
        <v>1</v>
      </c>
      <c r="I315" s="66">
        <f>I314-$K$2*T314</f>
        <v/>
      </c>
      <c r="J315" s="67">
        <f>J314-$K$2*U314</f>
        <v/>
      </c>
      <c r="K315" s="67">
        <f>K314-$K$2*V314</f>
        <v/>
      </c>
      <c r="L315" s="67">
        <f>L314-$K$2*W314</f>
        <v/>
      </c>
      <c r="M315" s="67">
        <f>M314-$K$2*X314</f>
        <v/>
      </c>
      <c r="N315" s="67">
        <f>I315+J315*C315+K315*D315+L315*E315+F315*M315</f>
        <v/>
      </c>
      <c r="O315" s="67">
        <f>1/(1+EXP(-N315))</f>
        <v/>
      </c>
      <c r="P315" s="68">
        <f>IF(O315&gt;0.5,1,0)</f>
        <v/>
      </c>
      <c r="Q315" s="68">
        <f>O315-G315</f>
        <v/>
      </c>
      <c r="R315" s="69">
        <f>Q315^2</f>
        <v/>
      </c>
      <c r="S315">
        <f>IF(P315=G315,1,0)</f>
        <v/>
      </c>
      <c r="T315">
        <f>2*(O315-G315)*(1-O315)*O315</f>
        <v/>
      </c>
      <c r="U315">
        <f>2*(O315-G315)*(1-O315)*O315*C315</f>
        <v/>
      </c>
      <c r="V315">
        <f>2*(O315-G315)*(1-O315)*O315*D315</f>
        <v/>
      </c>
      <c r="W315">
        <f>2*(O315-G315)*(1-O315)*O315*E315</f>
        <v/>
      </c>
      <c r="X315">
        <f>2*(O315-G315)*(1-O315)*O315*F315</f>
        <v/>
      </c>
    </row>
    <row r="316" ht="14.25" customHeight="1" s="96">
      <c r="B316" s="66" t="n">
        <v>72</v>
      </c>
      <c r="C316" s="79" t="n">
        <v>5.5</v>
      </c>
      <c r="D316" s="67" t="n">
        <v>2.4</v>
      </c>
      <c r="E316" s="67" t="n">
        <v>3.7</v>
      </c>
      <c r="F316" s="67" t="n">
        <v>1</v>
      </c>
      <c r="G316" s="80" t="n">
        <v>1</v>
      </c>
      <c r="I316" s="66">
        <f>I315-$K$2*T315</f>
        <v/>
      </c>
      <c r="J316" s="67">
        <f>J315-$K$2*U315</f>
        <v/>
      </c>
      <c r="K316" s="67">
        <f>K315-$K$2*V315</f>
        <v/>
      </c>
      <c r="L316" s="67">
        <f>L315-$K$2*W315</f>
        <v/>
      </c>
      <c r="M316" s="67">
        <f>M315-$K$2*X315</f>
        <v/>
      </c>
      <c r="N316" s="67">
        <f>I316+J316*C316+K316*D316+L316*E316+F316*M316</f>
        <v/>
      </c>
      <c r="O316" s="67">
        <f>1/(1+EXP(-N316))</f>
        <v/>
      </c>
      <c r="P316" s="68">
        <f>IF(O316&gt;0.5,1,0)</f>
        <v/>
      </c>
      <c r="Q316" s="68">
        <f>O316-G316</f>
        <v/>
      </c>
      <c r="R316" s="69">
        <f>Q316^2</f>
        <v/>
      </c>
      <c r="S316">
        <f>IF(P316=G316,1,0)</f>
        <v/>
      </c>
      <c r="T316">
        <f>2*(O316-G316)*(1-O316)*O316</f>
        <v/>
      </c>
      <c r="U316">
        <f>2*(O316-G316)*(1-O316)*O316*C316</f>
        <v/>
      </c>
      <c r="V316">
        <f>2*(O316-G316)*(1-O316)*O316*D316</f>
        <v/>
      </c>
      <c r="W316">
        <f>2*(O316-G316)*(1-O316)*O316*E316</f>
        <v/>
      </c>
      <c r="X316">
        <f>2*(O316-G316)*(1-O316)*O316*F316</f>
        <v/>
      </c>
    </row>
    <row r="317" ht="14.25" customHeight="1" s="96">
      <c r="B317" s="66" t="n">
        <v>73</v>
      </c>
      <c r="C317" s="79" t="n">
        <v>5.8</v>
      </c>
      <c r="D317" s="67" t="n">
        <v>2.7</v>
      </c>
      <c r="E317" s="67" t="n">
        <v>3.9</v>
      </c>
      <c r="F317" s="67" t="n">
        <v>1.2</v>
      </c>
      <c r="G317" s="80" t="n">
        <v>1</v>
      </c>
      <c r="I317" s="66">
        <f>I316-$K$2*T316</f>
        <v/>
      </c>
      <c r="J317" s="67">
        <f>J316-$K$2*U316</f>
        <v/>
      </c>
      <c r="K317" s="67">
        <f>K316-$K$2*V316</f>
        <v/>
      </c>
      <c r="L317" s="67">
        <f>L316-$K$2*W316</f>
        <v/>
      </c>
      <c r="M317" s="67">
        <f>M316-$K$2*X316</f>
        <v/>
      </c>
      <c r="N317" s="67">
        <f>I317+J317*C317+K317*D317+L317*E317+F317*M317</f>
        <v/>
      </c>
      <c r="O317" s="67">
        <f>1/(1+EXP(-N317))</f>
        <v/>
      </c>
      <c r="P317" s="68">
        <f>IF(O317&gt;0.5,1,0)</f>
        <v/>
      </c>
      <c r="Q317" s="68">
        <f>O317-G317</f>
        <v/>
      </c>
      <c r="R317" s="69">
        <f>Q317^2</f>
        <v/>
      </c>
      <c r="S317">
        <f>IF(P317=G317,1,0)</f>
        <v/>
      </c>
      <c r="T317">
        <f>2*(O317-G317)*(1-O317)*O317</f>
        <v/>
      </c>
      <c r="U317">
        <f>2*(O317-G317)*(1-O317)*O317*C317</f>
        <v/>
      </c>
      <c r="V317">
        <f>2*(O317-G317)*(1-O317)*O317*D317</f>
        <v/>
      </c>
      <c r="W317">
        <f>2*(O317-G317)*(1-O317)*O317*E317</f>
        <v/>
      </c>
      <c r="X317">
        <f>2*(O317-G317)*(1-O317)*O317*F317</f>
        <v/>
      </c>
    </row>
    <row r="318" ht="14.25" customHeight="1" s="96">
      <c r="B318" s="66" t="n">
        <v>74</v>
      </c>
      <c r="C318" s="79" t="n">
        <v>6</v>
      </c>
      <c r="D318" s="67" t="n">
        <v>2.7</v>
      </c>
      <c r="E318" s="67" t="n">
        <v>5.1</v>
      </c>
      <c r="F318" s="67" t="n">
        <v>1.6</v>
      </c>
      <c r="G318" s="80" t="n">
        <v>1</v>
      </c>
      <c r="I318" s="66">
        <f>I317-$K$2*T317</f>
        <v/>
      </c>
      <c r="J318" s="67">
        <f>J317-$K$2*U317</f>
        <v/>
      </c>
      <c r="K318" s="67">
        <f>K317-$K$2*V317</f>
        <v/>
      </c>
      <c r="L318" s="67">
        <f>L317-$K$2*W317</f>
        <v/>
      </c>
      <c r="M318" s="67">
        <f>M317-$K$2*X317</f>
        <v/>
      </c>
      <c r="N318" s="67">
        <f>I318+J318*C318+K318*D318+L318*E318+F318*M318</f>
        <v/>
      </c>
      <c r="O318" s="67">
        <f>1/(1+EXP(-N318))</f>
        <v/>
      </c>
      <c r="P318" s="68">
        <f>IF(O318&gt;0.5,1,0)</f>
        <v/>
      </c>
      <c r="Q318" s="68">
        <f>O318-G318</f>
        <v/>
      </c>
      <c r="R318" s="69">
        <f>Q318^2</f>
        <v/>
      </c>
      <c r="S318">
        <f>IF(P318=G318,1,0)</f>
        <v/>
      </c>
      <c r="T318">
        <f>2*(O318-G318)*(1-O318)*O318</f>
        <v/>
      </c>
      <c r="U318">
        <f>2*(O318-G318)*(1-O318)*O318*C318</f>
        <v/>
      </c>
      <c r="V318">
        <f>2*(O318-G318)*(1-O318)*O318*D318</f>
        <v/>
      </c>
      <c r="W318">
        <f>2*(O318-G318)*(1-O318)*O318*E318</f>
        <v/>
      </c>
      <c r="X318">
        <f>2*(O318-G318)*(1-O318)*O318*F318</f>
        <v/>
      </c>
    </row>
    <row r="319" ht="14.25" customHeight="1" s="96">
      <c r="B319" s="66" t="n">
        <v>75</v>
      </c>
      <c r="C319" s="79" t="n">
        <v>5.4</v>
      </c>
      <c r="D319" s="67" t="n">
        <v>3</v>
      </c>
      <c r="E319" s="67" t="n">
        <v>4.5</v>
      </c>
      <c r="F319" s="67" t="n">
        <v>1.5</v>
      </c>
      <c r="G319" s="80" t="n">
        <v>1</v>
      </c>
      <c r="I319" s="66">
        <f>I318-$K$2*T318</f>
        <v/>
      </c>
      <c r="J319" s="67">
        <f>J318-$K$2*U318</f>
        <v/>
      </c>
      <c r="K319" s="67">
        <f>K318-$K$2*V318</f>
        <v/>
      </c>
      <c r="L319" s="67">
        <f>L318-$K$2*W318</f>
        <v/>
      </c>
      <c r="M319" s="67">
        <f>M318-$K$2*X318</f>
        <v/>
      </c>
      <c r="N319" s="67">
        <f>I319+J319*C319+K319*D319+L319*E319+F319*M319</f>
        <v/>
      </c>
      <c r="O319" s="67">
        <f>1/(1+EXP(-N319))</f>
        <v/>
      </c>
      <c r="P319" s="68">
        <f>IF(O319&gt;0.5,1,0)</f>
        <v/>
      </c>
      <c r="Q319" s="68">
        <f>O319-G319</f>
        <v/>
      </c>
      <c r="R319" s="69">
        <f>Q319^2</f>
        <v/>
      </c>
      <c r="S319">
        <f>IF(P319=G319,1,0)</f>
        <v/>
      </c>
      <c r="T319">
        <f>2*(O319-G319)*(1-O319)*O319</f>
        <v/>
      </c>
      <c r="U319">
        <f>2*(O319-G319)*(1-O319)*O319*C319</f>
        <v/>
      </c>
      <c r="V319">
        <f>2*(O319-G319)*(1-O319)*O319*D319</f>
        <v/>
      </c>
      <c r="W319">
        <f>2*(O319-G319)*(1-O319)*O319*E319</f>
        <v/>
      </c>
      <c r="X319">
        <f>2*(O319-G319)*(1-O319)*O319*F319</f>
        <v/>
      </c>
    </row>
    <row r="320" ht="14.25" customHeight="1" s="96">
      <c r="B320" s="66" t="n">
        <v>76</v>
      </c>
      <c r="C320" s="79" t="n">
        <v>6</v>
      </c>
      <c r="D320" s="67" t="n">
        <v>3.4</v>
      </c>
      <c r="E320" s="67" t="n">
        <v>4.5</v>
      </c>
      <c r="F320" s="67" t="n">
        <v>1.6</v>
      </c>
      <c r="G320" s="80" t="n">
        <v>1</v>
      </c>
      <c r="I320" s="66">
        <f>I319-$K$2*T319</f>
        <v/>
      </c>
      <c r="J320" s="67">
        <f>J319-$K$2*U319</f>
        <v/>
      </c>
      <c r="K320" s="67">
        <f>K319-$K$2*V319</f>
        <v/>
      </c>
      <c r="L320" s="67">
        <f>L319-$K$2*W319</f>
        <v/>
      </c>
      <c r="M320" s="67">
        <f>M319-$K$2*X319</f>
        <v/>
      </c>
      <c r="N320" s="67">
        <f>I320+J320*C320+K320*D320+L320*E320+F320*M320</f>
        <v/>
      </c>
      <c r="O320" s="67">
        <f>1/(1+EXP(-N320))</f>
        <v/>
      </c>
      <c r="P320" s="68">
        <f>IF(O320&gt;0.5,1,0)</f>
        <v/>
      </c>
      <c r="Q320" s="68">
        <f>O320-G320</f>
        <v/>
      </c>
      <c r="R320" s="69">
        <f>Q320^2</f>
        <v/>
      </c>
      <c r="S320">
        <f>IF(P320=G320,1,0)</f>
        <v/>
      </c>
      <c r="T320">
        <f>2*(O320-G320)*(1-O320)*O320</f>
        <v/>
      </c>
      <c r="U320">
        <f>2*(O320-G320)*(1-O320)*O320*C320</f>
        <v/>
      </c>
      <c r="V320">
        <f>2*(O320-G320)*(1-O320)*O320*D320</f>
        <v/>
      </c>
      <c r="W320">
        <f>2*(O320-G320)*(1-O320)*O320*E320</f>
        <v/>
      </c>
      <c r="X320">
        <f>2*(O320-G320)*(1-O320)*O320*F320</f>
        <v/>
      </c>
    </row>
    <row r="321" ht="14.25" customHeight="1" s="96">
      <c r="B321" s="66" t="n">
        <v>77</v>
      </c>
      <c r="C321" s="79" t="n">
        <v>6.7</v>
      </c>
      <c r="D321" s="67" t="n">
        <v>3.1</v>
      </c>
      <c r="E321" s="67" t="n">
        <v>4.7</v>
      </c>
      <c r="F321" s="67" t="n">
        <v>1.5</v>
      </c>
      <c r="G321" s="80" t="n">
        <v>1</v>
      </c>
      <c r="I321" s="66">
        <f>I320-$K$2*T320</f>
        <v/>
      </c>
      <c r="J321" s="67">
        <f>J320-$K$2*U320</f>
        <v/>
      </c>
      <c r="K321" s="67">
        <f>K320-$K$2*V320</f>
        <v/>
      </c>
      <c r="L321" s="67">
        <f>L320-$K$2*W320</f>
        <v/>
      </c>
      <c r="M321" s="67">
        <f>M320-$K$2*X320</f>
        <v/>
      </c>
      <c r="N321" s="67">
        <f>I321+J321*C321+K321*D321+L321*E321+F321*M321</f>
        <v/>
      </c>
      <c r="O321" s="67">
        <f>1/(1+EXP(-N321))</f>
        <v/>
      </c>
      <c r="P321" s="68">
        <f>IF(O321&gt;0.5,1,0)</f>
        <v/>
      </c>
      <c r="Q321" s="68">
        <f>O321-G321</f>
        <v/>
      </c>
      <c r="R321" s="69">
        <f>Q321^2</f>
        <v/>
      </c>
      <c r="S321">
        <f>IF(P321=G321,1,0)</f>
        <v/>
      </c>
      <c r="T321">
        <f>2*(O321-G321)*(1-O321)*O321</f>
        <v/>
      </c>
      <c r="U321">
        <f>2*(O321-G321)*(1-O321)*O321*C321</f>
        <v/>
      </c>
      <c r="V321">
        <f>2*(O321-G321)*(1-O321)*O321*D321</f>
        <v/>
      </c>
      <c r="W321">
        <f>2*(O321-G321)*(1-O321)*O321*E321</f>
        <v/>
      </c>
      <c r="X321">
        <f>2*(O321-G321)*(1-O321)*O321*F321</f>
        <v/>
      </c>
    </row>
    <row r="322" ht="14.25" customHeight="1" s="96">
      <c r="B322" s="66" t="n">
        <v>78</v>
      </c>
      <c r="C322" s="79" t="n">
        <v>6.3</v>
      </c>
      <c r="D322" s="67" t="n">
        <v>2.3</v>
      </c>
      <c r="E322" s="67" t="n">
        <v>4.4</v>
      </c>
      <c r="F322" s="67" t="n">
        <v>1.3</v>
      </c>
      <c r="G322" s="80" t="n">
        <v>1</v>
      </c>
      <c r="I322" s="66">
        <f>I321-$K$2*T321</f>
        <v/>
      </c>
      <c r="J322" s="67">
        <f>J321-$K$2*U321</f>
        <v/>
      </c>
      <c r="K322" s="67">
        <f>K321-$K$2*V321</f>
        <v/>
      </c>
      <c r="L322" s="67">
        <f>L321-$K$2*W321</f>
        <v/>
      </c>
      <c r="M322" s="67">
        <f>M321-$K$2*X321</f>
        <v/>
      </c>
      <c r="N322" s="67">
        <f>I322+J322*C322+K322*D322+L322*E322+F322*M322</f>
        <v/>
      </c>
      <c r="O322" s="67">
        <f>1/(1+EXP(-N322))</f>
        <v/>
      </c>
      <c r="P322" s="68">
        <f>IF(O322&gt;0.5,1,0)</f>
        <v/>
      </c>
      <c r="Q322" s="68">
        <f>O322-G322</f>
        <v/>
      </c>
      <c r="R322" s="69">
        <f>Q322^2</f>
        <v/>
      </c>
      <c r="S322">
        <f>IF(P322=G322,1,0)</f>
        <v/>
      </c>
      <c r="T322">
        <f>2*(O322-G322)*(1-O322)*O322</f>
        <v/>
      </c>
      <c r="U322">
        <f>2*(O322-G322)*(1-O322)*O322*C322</f>
        <v/>
      </c>
      <c r="V322">
        <f>2*(O322-G322)*(1-O322)*O322*D322</f>
        <v/>
      </c>
      <c r="W322">
        <f>2*(O322-G322)*(1-O322)*O322*E322</f>
        <v/>
      </c>
      <c r="X322">
        <f>2*(O322-G322)*(1-O322)*O322*F322</f>
        <v/>
      </c>
    </row>
    <row r="323" ht="14.25" customHeight="1" s="96">
      <c r="B323" s="66" t="n">
        <v>79</v>
      </c>
      <c r="C323" s="79" t="n">
        <v>5.6</v>
      </c>
      <c r="D323" s="67" t="n">
        <v>3</v>
      </c>
      <c r="E323" s="67" t="n">
        <v>4.1</v>
      </c>
      <c r="F323" s="67" t="n">
        <v>1.3</v>
      </c>
      <c r="G323" s="80" t="n">
        <v>1</v>
      </c>
      <c r="I323" s="66">
        <f>I322-$K$2*T322</f>
        <v/>
      </c>
      <c r="J323" s="67">
        <f>J322-$K$2*U322</f>
        <v/>
      </c>
      <c r="K323" s="67">
        <f>K322-$K$2*V322</f>
        <v/>
      </c>
      <c r="L323" s="67">
        <f>L322-$K$2*W322</f>
        <v/>
      </c>
      <c r="M323" s="67">
        <f>M322-$K$2*X322</f>
        <v/>
      </c>
      <c r="N323" s="67">
        <f>I323+J323*C323+K323*D323+L323*E323+F323*M323</f>
        <v/>
      </c>
      <c r="O323" s="67">
        <f>1/(1+EXP(-N323))</f>
        <v/>
      </c>
      <c r="P323" s="68">
        <f>IF(O323&gt;0.5,1,0)</f>
        <v/>
      </c>
      <c r="Q323" s="68">
        <f>O323-G323</f>
        <v/>
      </c>
      <c r="R323" s="69">
        <f>Q323^2</f>
        <v/>
      </c>
      <c r="S323">
        <f>IF(P323=G323,1,0)</f>
        <v/>
      </c>
      <c r="T323">
        <f>2*(O323-G323)*(1-O323)*O323</f>
        <v/>
      </c>
      <c r="U323">
        <f>2*(O323-G323)*(1-O323)*O323*C323</f>
        <v/>
      </c>
      <c r="V323">
        <f>2*(O323-G323)*(1-O323)*O323*D323</f>
        <v/>
      </c>
      <c r="W323">
        <f>2*(O323-G323)*(1-O323)*O323*E323</f>
        <v/>
      </c>
      <c r="X323">
        <f>2*(O323-G323)*(1-O323)*O323*F323</f>
        <v/>
      </c>
    </row>
    <row r="324" ht="14.25" customHeight="1" s="96">
      <c r="B324" s="66" t="n">
        <v>80</v>
      </c>
      <c r="C324" s="79" t="n">
        <v>5.5</v>
      </c>
      <c r="D324" s="67" t="n">
        <v>2.5</v>
      </c>
      <c r="E324" s="67" t="n">
        <v>4</v>
      </c>
      <c r="F324" s="67" t="n">
        <v>1.3</v>
      </c>
      <c r="G324" s="80" t="n">
        <v>1</v>
      </c>
      <c r="I324" s="66">
        <f>I323-$K$2*T323</f>
        <v/>
      </c>
      <c r="J324" s="67">
        <f>J323-$K$2*U323</f>
        <v/>
      </c>
      <c r="K324" s="67">
        <f>K323-$K$2*V323</f>
        <v/>
      </c>
      <c r="L324" s="67">
        <f>L323-$K$2*W323</f>
        <v/>
      </c>
      <c r="M324" s="67">
        <f>M323-$K$2*X323</f>
        <v/>
      </c>
      <c r="N324" s="67">
        <f>I324+J324*C324+K324*D324+L324*E324+F324*M324</f>
        <v/>
      </c>
      <c r="O324" s="67">
        <f>1/(1+EXP(-N324))</f>
        <v/>
      </c>
      <c r="P324" s="68">
        <f>IF(O324&gt;0.5,1,0)</f>
        <v/>
      </c>
      <c r="Q324" s="68">
        <f>O324-G324</f>
        <v/>
      </c>
      <c r="R324" s="69">
        <f>Q324^2</f>
        <v/>
      </c>
      <c r="S324">
        <f>IF(P324=G324,1,0)</f>
        <v/>
      </c>
      <c r="T324">
        <f>2*(O324-G324)*(1-O324)*O324</f>
        <v/>
      </c>
      <c r="U324">
        <f>2*(O324-G324)*(1-O324)*O324*C324</f>
        <v/>
      </c>
      <c r="V324">
        <f>2*(O324-G324)*(1-O324)*O324*D324</f>
        <v/>
      </c>
      <c r="W324">
        <f>2*(O324-G324)*(1-O324)*O324*E324</f>
        <v/>
      </c>
      <c r="X324">
        <f>2*(O324-G324)*(1-O324)*O324*F324</f>
        <v/>
      </c>
    </row>
    <row r="325" ht="14.25" customHeight="1" s="96">
      <c r="A325" s="119" t="inlineStr">
        <is>
          <t>epoch 5</t>
        </is>
      </c>
      <c r="B325" s="66" t="n">
        <v>1</v>
      </c>
      <c r="C325" s="79" t="n">
        <v>5.1</v>
      </c>
      <c r="D325" s="67" t="n">
        <v>3.5</v>
      </c>
      <c r="E325" s="67" t="n">
        <v>1.4</v>
      </c>
      <c r="F325" s="67" t="n">
        <v>0.2</v>
      </c>
      <c r="G325" s="80" t="n">
        <v>0</v>
      </c>
      <c r="I325" s="66">
        <f>I324-$K$2*T324</f>
        <v/>
      </c>
      <c r="J325" s="67">
        <f>J324-$K$2*U324</f>
        <v/>
      </c>
      <c r="K325" s="67">
        <f>K324-$K$2*V324</f>
        <v/>
      </c>
      <c r="L325" s="67">
        <f>L324-$K$2*W324</f>
        <v/>
      </c>
      <c r="M325" s="67">
        <f>M324-$K$2*X324</f>
        <v/>
      </c>
      <c r="N325" s="67">
        <f>I325+J325*C325+K325*D325+L325*E325+F325*M325</f>
        <v/>
      </c>
      <c r="O325" s="67">
        <f>1/(1+EXP(-N325))</f>
        <v/>
      </c>
      <c r="P325" s="68">
        <f>IF(O325&gt;0.5,1,0)</f>
        <v/>
      </c>
      <c r="Q325" s="68">
        <f>O325-G325</f>
        <v/>
      </c>
      <c r="R325" s="69">
        <f>Q325^2</f>
        <v/>
      </c>
      <c r="S325">
        <f>IF(P325=G325,1,0)</f>
        <v/>
      </c>
      <c r="T325">
        <f>2*(O325-G325)*(1-O325)*O325</f>
        <v/>
      </c>
      <c r="U325">
        <f>2*(O325-G325)*(1-O325)*O325*C325</f>
        <v/>
      </c>
      <c r="V325">
        <f>2*(O325-G325)*(1-O325)*O325*D325</f>
        <v/>
      </c>
      <c r="W325">
        <f>2*(O325-G325)*(1-O325)*O325*E325</f>
        <v/>
      </c>
      <c r="X325">
        <f>2*(O325-G325)*(1-O325)*O325*F325</f>
        <v/>
      </c>
    </row>
    <row r="326" ht="14.25" customHeight="1" s="96">
      <c r="B326" s="66" t="n">
        <v>2</v>
      </c>
      <c r="C326" s="79" t="n">
        <v>4.9</v>
      </c>
      <c r="D326" s="67" t="n">
        <v>3</v>
      </c>
      <c r="E326" s="67" t="n">
        <v>1.4</v>
      </c>
      <c r="F326" s="67" t="n">
        <v>0.2</v>
      </c>
      <c r="G326" s="80" t="n">
        <v>0</v>
      </c>
      <c r="I326" s="66">
        <f>I325-$K$2*T325</f>
        <v/>
      </c>
      <c r="J326" s="67">
        <f>J325-$K$2*U325</f>
        <v/>
      </c>
      <c r="K326" s="67">
        <f>K325-$K$2*V325</f>
        <v/>
      </c>
      <c r="L326" s="67">
        <f>L325-$K$2*W325</f>
        <v/>
      </c>
      <c r="M326" s="67">
        <f>M325-$K$2*X325</f>
        <v/>
      </c>
      <c r="N326" s="67">
        <f>I326+J326*C326+K326*D326+L326*E326+F326*M326</f>
        <v/>
      </c>
      <c r="O326" s="67">
        <f>1/(1+EXP(-N326))</f>
        <v/>
      </c>
      <c r="P326" s="68">
        <f>IF(O326&gt;0.5,1,0)</f>
        <v/>
      </c>
      <c r="Q326" s="68">
        <f>O326-G326</f>
        <v/>
      </c>
      <c r="R326" s="69">
        <f>Q326^2</f>
        <v/>
      </c>
      <c r="S326">
        <f>IF(P326=G326,1,0)</f>
        <v/>
      </c>
      <c r="T326">
        <f>2*(O326-G326)*(1-O326)*O326</f>
        <v/>
      </c>
      <c r="U326">
        <f>2*(O326-G326)*(1-O326)*O326*C326</f>
        <v/>
      </c>
      <c r="V326">
        <f>2*(O326-G326)*(1-O326)*O326*D326</f>
        <v/>
      </c>
      <c r="W326">
        <f>2*(O326-G326)*(1-O326)*O326*E326</f>
        <v/>
      </c>
      <c r="X326">
        <f>2*(O326-G326)*(1-O326)*O326*F326</f>
        <v/>
      </c>
    </row>
    <row r="327" ht="14.25" customHeight="1" s="96">
      <c r="B327" s="66" t="n">
        <v>3</v>
      </c>
      <c r="C327" s="79" t="n">
        <v>4.7</v>
      </c>
      <c r="D327" s="67" t="n">
        <v>3.2</v>
      </c>
      <c r="E327" s="67" t="n">
        <v>1.3</v>
      </c>
      <c r="F327" s="67" t="n">
        <v>0.2</v>
      </c>
      <c r="G327" s="80" t="n">
        <v>0</v>
      </c>
      <c r="I327" s="66">
        <f>I326-$K$2*T326</f>
        <v/>
      </c>
      <c r="J327" s="67">
        <f>J326-$K$2*U326</f>
        <v/>
      </c>
      <c r="K327" s="67">
        <f>K326-$K$2*V326</f>
        <v/>
      </c>
      <c r="L327" s="67">
        <f>L326-$K$2*W326</f>
        <v/>
      </c>
      <c r="M327" s="67">
        <f>M326-$K$2*X326</f>
        <v/>
      </c>
      <c r="N327" s="67">
        <f>I327+J327*C327+K327*D327+L327*E327+F327*M327</f>
        <v/>
      </c>
      <c r="O327" s="67">
        <f>1/(1+EXP(-N327))</f>
        <v/>
      </c>
      <c r="P327" s="68">
        <f>IF(O327&gt;0.5,1,0)</f>
        <v/>
      </c>
      <c r="Q327" s="68">
        <f>O327-G327</f>
        <v/>
      </c>
      <c r="R327" s="69">
        <f>Q327^2</f>
        <v/>
      </c>
      <c r="S327">
        <f>IF(P327=G327,1,0)</f>
        <v/>
      </c>
      <c r="T327">
        <f>2*(O327-G327)*(1-O327)*O327</f>
        <v/>
      </c>
      <c r="U327">
        <f>2*(O327-G327)*(1-O327)*O327*C327</f>
        <v/>
      </c>
      <c r="V327">
        <f>2*(O327-G327)*(1-O327)*O327*D327</f>
        <v/>
      </c>
      <c r="W327">
        <f>2*(O327-G327)*(1-O327)*O327*E327</f>
        <v/>
      </c>
      <c r="X327">
        <f>2*(O327-G327)*(1-O327)*O327*F327</f>
        <v/>
      </c>
    </row>
    <row r="328" ht="14.25" customHeight="1" s="96">
      <c r="B328" s="66" t="n">
        <v>4</v>
      </c>
      <c r="C328" s="79" t="n">
        <v>4.6</v>
      </c>
      <c r="D328" s="67" t="n">
        <v>3.1</v>
      </c>
      <c r="E328" s="67" t="n">
        <v>1.5</v>
      </c>
      <c r="F328" s="67" t="n">
        <v>0.2</v>
      </c>
      <c r="G328" s="80" t="n">
        <v>0</v>
      </c>
      <c r="I328" s="66">
        <f>I327-$K$2*T327</f>
        <v/>
      </c>
      <c r="J328" s="67">
        <f>J327-$K$2*U327</f>
        <v/>
      </c>
      <c r="K328" s="67">
        <f>K327-$K$2*V327</f>
        <v/>
      </c>
      <c r="L328" s="67">
        <f>L327-$K$2*W327</f>
        <v/>
      </c>
      <c r="M328" s="67">
        <f>M327-$K$2*X327</f>
        <v/>
      </c>
      <c r="N328" s="67">
        <f>I328+J328*C328+K328*D328+L328*E328+F328*M328</f>
        <v/>
      </c>
      <c r="O328" s="67">
        <f>1/(1+EXP(-N328))</f>
        <v/>
      </c>
      <c r="P328" s="68">
        <f>IF(O328&gt;0.5,1,0)</f>
        <v/>
      </c>
      <c r="Q328" s="68">
        <f>O328-G328</f>
        <v/>
      </c>
      <c r="R328" s="69">
        <f>Q328^2</f>
        <v/>
      </c>
      <c r="S328">
        <f>IF(P328=G328,1,0)</f>
        <v/>
      </c>
      <c r="T328">
        <f>2*(O328-G328)*(1-O328)*O328</f>
        <v/>
      </c>
      <c r="U328">
        <f>2*(O328-G328)*(1-O328)*O328*C328</f>
        <v/>
      </c>
      <c r="V328">
        <f>2*(O328-G328)*(1-O328)*O328*D328</f>
        <v/>
      </c>
      <c r="W328">
        <f>2*(O328-G328)*(1-O328)*O328*E328</f>
        <v/>
      </c>
      <c r="X328">
        <f>2*(O328-G328)*(1-O328)*O328*F328</f>
        <v/>
      </c>
    </row>
    <row r="329" ht="14.25" customHeight="1" s="96">
      <c r="B329" s="66" t="n">
        <v>5</v>
      </c>
      <c r="C329" s="79" t="n">
        <v>5</v>
      </c>
      <c r="D329" s="67" t="n">
        <v>3.6</v>
      </c>
      <c r="E329" s="67" t="n">
        <v>1.4</v>
      </c>
      <c r="F329" s="67" t="n">
        <v>0.2</v>
      </c>
      <c r="G329" s="80" t="n">
        <v>0</v>
      </c>
      <c r="I329" s="66">
        <f>I328-$K$2*T328</f>
        <v/>
      </c>
      <c r="J329" s="67">
        <f>J328-$K$2*U328</f>
        <v/>
      </c>
      <c r="K329" s="67">
        <f>K328-$K$2*V328</f>
        <v/>
      </c>
      <c r="L329" s="67">
        <f>L328-$K$2*W328</f>
        <v/>
      </c>
      <c r="M329" s="67">
        <f>M328-$K$2*X328</f>
        <v/>
      </c>
      <c r="N329" s="67">
        <f>I329+J329*C329+K329*D329+L329*E329+F329*M329</f>
        <v/>
      </c>
      <c r="O329" s="67">
        <f>1/(1+EXP(-N329))</f>
        <v/>
      </c>
      <c r="P329" s="68">
        <f>IF(O329&gt;0.5,1,0)</f>
        <v/>
      </c>
      <c r="Q329" s="68">
        <f>O329-G329</f>
        <v/>
      </c>
      <c r="R329" s="69">
        <f>Q329^2</f>
        <v/>
      </c>
      <c r="S329">
        <f>IF(P329=G329,1,0)</f>
        <v/>
      </c>
      <c r="T329">
        <f>2*(O329-G329)*(1-O329)*O329</f>
        <v/>
      </c>
      <c r="U329">
        <f>2*(O329-G329)*(1-O329)*O329*C329</f>
        <v/>
      </c>
      <c r="V329">
        <f>2*(O329-G329)*(1-O329)*O329*D329</f>
        <v/>
      </c>
      <c r="W329">
        <f>2*(O329-G329)*(1-O329)*O329*E329</f>
        <v/>
      </c>
      <c r="X329">
        <f>2*(O329-G329)*(1-O329)*O329*F329</f>
        <v/>
      </c>
    </row>
    <row r="330" ht="14.25" customHeight="1" s="96">
      <c r="B330" s="66" t="n">
        <v>6</v>
      </c>
      <c r="C330" s="79" t="n">
        <v>5.4</v>
      </c>
      <c r="D330" s="67" t="n">
        <v>3.9</v>
      </c>
      <c r="E330" s="67" t="n">
        <v>1.7</v>
      </c>
      <c r="F330" s="67" t="n">
        <v>0.4</v>
      </c>
      <c r="G330" s="80" t="n">
        <v>0</v>
      </c>
      <c r="I330" s="66">
        <f>I329-$K$2*T329</f>
        <v/>
      </c>
      <c r="J330" s="67">
        <f>J329-$K$2*U329</f>
        <v/>
      </c>
      <c r="K330" s="67">
        <f>K329-$K$2*V329</f>
        <v/>
      </c>
      <c r="L330" s="67">
        <f>L329-$K$2*W329</f>
        <v/>
      </c>
      <c r="M330" s="67">
        <f>M329-$K$2*X329</f>
        <v/>
      </c>
      <c r="N330" s="67">
        <f>I330+J330*C330+K330*D330+L330*E330+F330*M330</f>
        <v/>
      </c>
      <c r="O330" s="67">
        <f>1/(1+EXP(-N330))</f>
        <v/>
      </c>
      <c r="P330" s="68">
        <f>IF(O330&gt;0.5,1,0)</f>
        <v/>
      </c>
      <c r="Q330" s="68">
        <f>O330-G330</f>
        <v/>
      </c>
      <c r="R330" s="69">
        <f>Q330^2</f>
        <v/>
      </c>
      <c r="S330">
        <f>IF(P330=G330,1,0)</f>
        <v/>
      </c>
      <c r="T330">
        <f>2*(O330-G330)*(1-O330)*O330</f>
        <v/>
      </c>
      <c r="U330">
        <f>2*(O330-G330)*(1-O330)*O330*C330</f>
        <v/>
      </c>
      <c r="V330">
        <f>2*(O330-G330)*(1-O330)*O330*D330</f>
        <v/>
      </c>
      <c r="W330">
        <f>2*(O330-G330)*(1-O330)*O330*E330</f>
        <v/>
      </c>
      <c r="X330">
        <f>2*(O330-G330)*(1-O330)*O330*F330</f>
        <v/>
      </c>
    </row>
    <row r="331" ht="14.25" customHeight="1" s="96">
      <c r="B331" s="66" t="n">
        <v>7</v>
      </c>
      <c r="C331" s="79" t="n">
        <v>4.6</v>
      </c>
      <c r="D331" s="67" t="n">
        <v>3.4</v>
      </c>
      <c r="E331" s="67" t="n">
        <v>1.4</v>
      </c>
      <c r="F331" s="67" t="n">
        <v>0.3</v>
      </c>
      <c r="G331" s="80" t="n">
        <v>0</v>
      </c>
      <c r="I331" s="66">
        <f>I330-$K$2*T330</f>
        <v/>
      </c>
      <c r="J331" s="67">
        <f>J330-$K$2*U330</f>
        <v/>
      </c>
      <c r="K331" s="67">
        <f>K330-$K$2*V330</f>
        <v/>
      </c>
      <c r="L331" s="67">
        <f>L330-$K$2*W330</f>
        <v/>
      </c>
      <c r="M331" s="67">
        <f>M330-$K$2*X330</f>
        <v/>
      </c>
      <c r="N331" s="67">
        <f>I331+J331*C331+K331*D331+L331*E331+F331*M331</f>
        <v/>
      </c>
      <c r="O331" s="67">
        <f>1/(1+EXP(-N331))</f>
        <v/>
      </c>
      <c r="P331" s="68">
        <f>IF(O331&gt;0.5,1,0)</f>
        <v/>
      </c>
      <c r="Q331" s="68">
        <f>O331-G331</f>
        <v/>
      </c>
      <c r="R331" s="69">
        <f>Q331^2</f>
        <v/>
      </c>
      <c r="S331">
        <f>IF(P331=G331,1,0)</f>
        <v/>
      </c>
      <c r="T331">
        <f>2*(O331-G331)*(1-O331)*O331</f>
        <v/>
      </c>
      <c r="U331">
        <f>2*(O331-G331)*(1-O331)*O331*C331</f>
        <v/>
      </c>
      <c r="V331">
        <f>2*(O331-G331)*(1-O331)*O331*D331</f>
        <v/>
      </c>
      <c r="W331">
        <f>2*(O331-G331)*(1-O331)*O331*E331</f>
        <v/>
      </c>
      <c r="X331">
        <f>2*(O331-G331)*(1-O331)*O331*F331</f>
        <v/>
      </c>
    </row>
    <row r="332" ht="14.25" customHeight="1" s="96">
      <c r="B332" s="66" t="n">
        <v>8</v>
      </c>
      <c r="C332" s="79" t="n">
        <v>5</v>
      </c>
      <c r="D332" s="67" t="n">
        <v>3.4</v>
      </c>
      <c r="E332" s="67" t="n">
        <v>1.5</v>
      </c>
      <c r="F332" s="67" t="n">
        <v>0.2</v>
      </c>
      <c r="G332" s="80" t="n">
        <v>0</v>
      </c>
      <c r="I332" s="66">
        <f>I331-$K$2*T331</f>
        <v/>
      </c>
      <c r="J332" s="67">
        <f>J331-$K$2*U331</f>
        <v/>
      </c>
      <c r="K332" s="67">
        <f>K331-$K$2*V331</f>
        <v/>
      </c>
      <c r="L332" s="67">
        <f>L331-$K$2*W331</f>
        <v/>
      </c>
      <c r="M332" s="67">
        <f>M331-$K$2*X331</f>
        <v/>
      </c>
      <c r="N332" s="67">
        <f>I332+J332*C332+K332*D332+L332*E332+F332*M332</f>
        <v/>
      </c>
      <c r="O332" s="67">
        <f>1/(1+EXP(-N332))</f>
        <v/>
      </c>
      <c r="P332" s="68">
        <f>IF(O332&gt;0.5,1,0)</f>
        <v/>
      </c>
      <c r="Q332" s="68">
        <f>O332-G332</f>
        <v/>
      </c>
      <c r="R332" s="69">
        <f>Q332^2</f>
        <v/>
      </c>
      <c r="S332">
        <f>IF(P332=G332,1,0)</f>
        <v/>
      </c>
      <c r="T332">
        <f>2*(O332-G332)*(1-O332)*O332</f>
        <v/>
      </c>
      <c r="U332">
        <f>2*(O332-G332)*(1-O332)*O332*C332</f>
        <v/>
      </c>
      <c r="V332">
        <f>2*(O332-G332)*(1-O332)*O332*D332</f>
        <v/>
      </c>
      <c r="W332">
        <f>2*(O332-G332)*(1-O332)*O332*E332</f>
        <v/>
      </c>
      <c r="X332">
        <f>2*(O332-G332)*(1-O332)*O332*F332</f>
        <v/>
      </c>
    </row>
    <row r="333" ht="14.25" customHeight="1" s="96">
      <c r="B333" s="66" t="n">
        <v>9</v>
      </c>
      <c r="C333" s="79" t="n">
        <v>4.4</v>
      </c>
      <c r="D333" s="67" t="n">
        <v>2.9</v>
      </c>
      <c r="E333" s="67" t="n">
        <v>1.4</v>
      </c>
      <c r="F333" s="67" t="n">
        <v>0.2</v>
      </c>
      <c r="G333" s="80" t="n">
        <v>0</v>
      </c>
      <c r="I333" s="66">
        <f>I332-$K$2*T332</f>
        <v/>
      </c>
      <c r="J333" s="67">
        <f>J332-$K$2*U332</f>
        <v/>
      </c>
      <c r="K333" s="67">
        <f>K332-$K$2*V332</f>
        <v/>
      </c>
      <c r="L333" s="67">
        <f>L332-$K$2*W332</f>
        <v/>
      </c>
      <c r="M333" s="67">
        <f>M332-$K$2*X332</f>
        <v/>
      </c>
      <c r="N333" s="67">
        <f>I333+J333*C333+K333*D333+L333*E333+F333*M333</f>
        <v/>
      </c>
      <c r="O333" s="67">
        <f>1/(1+EXP(-N333))</f>
        <v/>
      </c>
      <c r="P333" s="68">
        <f>IF(O333&gt;0.5,1,0)</f>
        <v/>
      </c>
      <c r="Q333" s="68">
        <f>O333-G333</f>
        <v/>
      </c>
      <c r="R333" s="69">
        <f>Q333^2</f>
        <v/>
      </c>
      <c r="S333">
        <f>IF(P333=G333,1,0)</f>
        <v/>
      </c>
      <c r="T333">
        <f>2*(O333-G333)*(1-O333)*O333</f>
        <v/>
      </c>
      <c r="U333">
        <f>2*(O333-G333)*(1-O333)*O333*C333</f>
        <v/>
      </c>
      <c r="V333">
        <f>2*(O333-G333)*(1-O333)*O333*D333</f>
        <v/>
      </c>
      <c r="W333">
        <f>2*(O333-G333)*(1-O333)*O333*E333</f>
        <v/>
      </c>
      <c r="X333">
        <f>2*(O333-G333)*(1-O333)*O333*F333</f>
        <v/>
      </c>
    </row>
    <row r="334" ht="14.25" customHeight="1" s="96">
      <c r="B334" s="66" t="n">
        <v>10</v>
      </c>
      <c r="C334" s="79" t="n">
        <v>4.9</v>
      </c>
      <c r="D334" s="67" t="n">
        <v>3.1</v>
      </c>
      <c r="E334" s="67" t="n">
        <v>1.5</v>
      </c>
      <c r="F334" s="67" t="n">
        <v>0.1</v>
      </c>
      <c r="G334" s="80" t="n">
        <v>0</v>
      </c>
      <c r="I334" s="66">
        <f>I333-$K$2*T333</f>
        <v/>
      </c>
      <c r="J334" s="67">
        <f>J333-$K$2*U333</f>
        <v/>
      </c>
      <c r="K334" s="67">
        <f>K333-$K$2*V333</f>
        <v/>
      </c>
      <c r="L334" s="67">
        <f>L333-$K$2*W333</f>
        <v/>
      </c>
      <c r="M334" s="67">
        <f>M333-$K$2*X333</f>
        <v/>
      </c>
      <c r="N334" s="67">
        <f>I334+J334*C334+K334*D334+L334*E334+F334*M334</f>
        <v/>
      </c>
      <c r="O334" s="67">
        <f>1/(1+EXP(-N334))</f>
        <v/>
      </c>
      <c r="P334" s="68">
        <f>IF(O334&gt;0.5,1,0)</f>
        <v/>
      </c>
      <c r="Q334" s="68">
        <f>O334-G334</f>
        <v/>
      </c>
      <c r="R334" s="69">
        <f>Q334^2</f>
        <v/>
      </c>
      <c r="S334">
        <f>IF(P334=G334,1,0)</f>
        <v/>
      </c>
      <c r="T334">
        <f>2*(O334-G334)*(1-O334)*O334</f>
        <v/>
      </c>
      <c r="U334">
        <f>2*(O334-G334)*(1-O334)*O334*C334</f>
        <v/>
      </c>
      <c r="V334">
        <f>2*(O334-G334)*(1-O334)*O334*D334</f>
        <v/>
      </c>
      <c r="W334">
        <f>2*(O334-G334)*(1-O334)*O334*E334</f>
        <v/>
      </c>
      <c r="X334">
        <f>2*(O334-G334)*(1-O334)*O334*F334</f>
        <v/>
      </c>
    </row>
    <row r="335" ht="14.25" customHeight="1" s="96">
      <c r="B335" s="66" t="n">
        <v>11</v>
      </c>
      <c r="C335" s="79" t="n">
        <v>5.4</v>
      </c>
      <c r="D335" s="67" t="n">
        <v>3.7</v>
      </c>
      <c r="E335" s="67" t="n">
        <v>1.5</v>
      </c>
      <c r="F335" s="67" t="n">
        <v>0.2</v>
      </c>
      <c r="G335" s="80" t="n">
        <v>0</v>
      </c>
      <c r="I335" s="66">
        <f>I334-$K$2*T334</f>
        <v/>
      </c>
      <c r="J335" s="67">
        <f>J334-$K$2*U334</f>
        <v/>
      </c>
      <c r="K335" s="67">
        <f>K334-$K$2*V334</f>
        <v/>
      </c>
      <c r="L335" s="67">
        <f>L334-$K$2*W334</f>
        <v/>
      </c>
      <c r="M335" s="67">
        <f>M334-$K$2*X334</f>
        <v/>
      </c>
      <c r="N335" s="67">
        <f>I335+J335*C335+K335*D335+L335*E335+F335*M335</f>
        <v/>
      </c>
      <c r="O335" s="67">
        <f>1/(1+EXP(-N335))</f>
        <v/>
      </c>
      <c r="P335" s="68">
        <f>IF(O335&gt;0.5,1,0)</f>
        <v/>
      </c>
      <c r="Q335" s="68">
        <f>O335-G335</f>
        <v/>
      </c>
      <c r="R335" s="69">
        <f>Q335^2</f>
        <v/>
      </c>
      <c r="S335">
        <f>IF(P335=G335,1,0)</f>
        <v/>
      </c>
      <c r="T335">
        <f>2*(O335-G335)*(1-O335)*O335</f>
        <v/>
      </c>
      <c r="U335">
        <f>2*(O335-G335)*(1-O335)*O335*C335</f>
        <v/>
      </c>
      <c r="V335">
        <f>2*(O335-G335)*(1-O335)*O335*D335</f>
        <v/>
      </c>
      <c r="W335">
        <f>2*(O335-G335)*(1-O335)*O335*E335</f>
        <v/>
      </c>
      <c r="X335">
        <f>2*(O335-G335)*(1-O335)*O335*F335</f>
        <v/>
      </c>
    </row>
    <row r="336" ht="14.25" customHeight="1" s="96">
      <c r="B336" s="66" t="n">
        <v>12</v>
      </c>
      <c r="C336" s="79" t="n">
        <v>4.8</v>
      </c>
      <c r="D336" s="67" t="n">
        <v>3.4</v>
      </c>
      <c r="E336" s="67" t="n">
        <v>1.6</v>
      </c>
      <c r="F336" s="67" t="n">
        <v>0.2</v>
      </c>
      <c r="G336" s="80" t="n">
        <v>0</v>
      </c>
      <c r="I336" s="66">
        <f>I335-$K$2*T335</f>
        <v/>
      </c>
      <c r="J336" s="67">
        <f>J335-$K$2*U335</f>
        <v/>
      </c>
      <c r="K336" s="67">
        <f>K335-$K$2*V335</f>
        <v/>
      </c>
      <c r="L336" s="67">
        <f>L335-$K$2*W335</f>
        <v/>
      </c>
      <c r="M336" s="67">
        <f>M335-$K$2*X335</f>
        <v/>
      </c>
      <c r="N336" s="67">
        <f>I336+J336*C336+K336*D336+L336*E336+F336*M336</f>
        <v/>
      </c>
      <c r="O336" s="67">
        <f>1/(1+EXP(-N336))</f>
        <v/>
      </c>
      <c r="P336" s="68">
        <f>IF(O336&gt;0.5,1,0)</f>
        <v/>
      </c>
      <c r="Q336" s="68">
        <f>O336-G336</f>
        <v/>
      </c>
      <c r="R336" s="69">
        <f>Q336^2</f>
        <v/>
      </c>
      <c r="S336">
        <f>IF(P336=G336,1,0)</f>
        <v/>
      </c>
      <c r="T336">
        <f>2*(O336-G336)*(1-O336)*O336</f>
        <v/>
      </c>
      <c r="U336">
        <f>2*(O336-G336)*(1-O336)*O336*C336</f>
        <v/>
      </c>
      <c r="V336">
        <f>2*(O336-G336)*(1-O336)*O336*D336</f>
        <v/>
      </c>
      <c r="W336">
        <f>2*(O336-G336)*(1-O336)*O336*E336</f>
        <v/>
      </c>
      <c r="X336">
        <f>2*(O336-G336)*(1-O336)*O336*F336</f>
        <v/>
      </c>
    </row>
    <row r="337" ht="14.25" customHeight="1" s="96">
      <c r="B337" s="66" t="n">
        <v>13</v>
      </c>
      <c r="C337" s="79" t="n">
        <v>4.8</v>
      </c>
      <c r="D337" s="67" t="n">
        <v>3</v>
      </c>
      <c r="E337" s="67" t="n">
        <v>1.4</v>
      </c>
      <c r="F337" s="67" t="n">
        <v>0.1</v>
      </c>
      <c r="G337" s="80" t="n">
        <v>0</v>
      </c>
      <c r="I337" s="66">
        <f>I336-$K$2*T336</f>
        <v/>
      </c>
      <c r="J337" s="67">
        <f>J336-$K$2*U336</f>
        <v/>
      </c>
      <c r="K337" s="67">
        <f>K336-$K$2*V336</f>
        <v/>
      </c>
      <c r="L337" s="67">
        <f>L336-$K$2*W336</f>
        <v/>
      </c>
      <c r="M337" s="67">
        <f>M336-$K$2*X336</f>
        <v/>
      </c>
      <c r="N337" s="67">
        <f>I337+J337*C337+K337*D337+L337*E337+F337*M337</f>
        <v/>
      </c>
      <c r="O337" s="67">
        <f>1/(1+EXP(-N337))</f>
        <v/>
      </c>
      <c r="P337" s="68">
        <f>IF(O337&gt;0.5,1,0)</f>
        <v/>
      </c>
      <c r="Q337" s="68">
        <f>O337-G337</f>
        <v/>
      </c>
      <c r="R337" s="69">
        <f>Q337^2</f>
        <v/>
      </c>
      <c r="S337">
        <f>IF(P337=G337,1,0)</f>
        <v/>
      </c>
      <c r="T337">
        <f>2*(O337-G337)*(1-O337)*O337</f>
        <v/>
      </c>
      <c r="U337">
        <f>2*(O337-G337)*(1-O337)*O337*C337</f>
        <v/>
      </c>
      <c r="V337">
        <f>2*(O337-G337)*(1-O337)*O337*D337</f>
        <v/>
      </c>
      <c r="W337">
        <f>2*(O337-G337)*(1-O337)*O337*E337</f>
        <v/>
      </c>
      <c r="X337">
        <f>2*(O337-G337)*(1-O337)*O337*F337</f>
        <v/>
      </c>
    </row>
    <row r="338" ht="14.25" customHeight="1" s="96">
      <c r="B338" s="66" t="n">
        <v>14</v>
      </c>
      <c r="C338" s="79" t="n">
        <v>4.3</v>
      </c>
      <c r="D338" s="67" t="n">
        <v>3</v>
      </c>
      <c r="E338" s="67" t="n">
        <v>1.1</v>
      </c>
      <c r="F338" s="67" t="n">
        <v>0.1</v>
      </c>
      <c r="G338" s="80" t="n">
        <v>0</v>
      </c>
      <c r="I338" s="66">
        <f>I337-$K$2*T337</f>
        <v/>
      </c>
      <c r="J338" s="67">
        <f>J337-$K$2*U337</f>
        <v/>
      </c>
      <c r="K338" s="67">
        <f>K337-$K$2*V337</f>
        <v/>
      </c>
      <c r="L338" s="67">
        <f>L337-$K$2*W337</f>
        <v/>
      </c>
      <c r="M338" s="67">
        <f>M337-$K$2*X337</f>
        <v/>
      </c>
      <c r="N338" s="67">
        <f>I338+J338*C338+K338*D338+L338*E338+F338*M338</f>
        <v/>
      </c>
      <c r="O338" s="67">
        <f>1/(1+EXP(-N338))</f>
        <v/>
      </c>
      <c r="P338" s="68">
        <f>IF(O338&gt;0.5,1,0)</f>
        <v/>
      </c>
      <c r="Q338" s="68">
        <f>O338-G338</f>
        <v/>
      </c>
      <c r="R338" s="69">
        <f>Q338^2</f>
        <v/>
      </c>
      <c r="S338">
        <f>IF(P338=G338,1,0)</f>
        <v/>
      </c>
      <c r="T338">
        <f>2*(O338-G338)*(1-O338)*O338</f>
        <v/>
      </c>
      <c r="U338">
        <f>2*(O338-G338)*(1-O338)*O338*C338</f>
        <v/>
      </c>
      <c r="V338">
        <f>2*(O338-G338)*(1-O338)*O338*D338</f>
        <v/>
      </c>
      <c r="W338">
        <f>2*(O338-G338)*(1-O338)*O338*E338</f>
        <v/>
      </c>
      <c r="X338">
        <f>2*(O338-G338)*(1-O338)*O338*F338</f>
        <v/>
      </c>
    </row>
    <row r="339" ht="14.25" customHeight="1" s="96">
      <c r="B339" s="66" t="n">
        <v>15</v>
      </c>
      <c r="C339" s="79" t="n">
        <v>5.8</v>
      </c>
      <c r="D339" s="67" t="n">
        <v>4</v>
      </c>
      <c r="E339" s="67" t="n">
        <v>1.2</v>
      </c>
      <c r="F339" s="67" t="n">
        <v>0.2</v>
      </c>
      <c r="G339" s="80" t="n">
        <v>0</v>
      </c>
      <c r="I339" s="66">
        <f>I338-$K$2*T338</f>
        <v/>
      </c>
      <c r="J339" s="67">
        <f>J338-$K$2*U338</f>
        <v/>
      </c>
      <c r="K339" s="67">
        <f>K338-$K$2*V338</f>
        <v/>
      </c>
      <c r="L339" s="67">
        <f>L338-$K$2*W338</f>
        <v/>
      </c>
      <c r="M339" s="67">
        <f>M338-$K$2*X338</f>
        <v/>
      </c>
      <c r="N339" s="67">
        <f>I339+J339*C339+K339*D339+L339*E339+F339*M339</f>
        <v/>
      </c>
      <c r="O339" s="67">
        <f>1/(1+EXP(-N339))</f>
        <v/>
      </c>
      <c r="P339" s="68">
        <f>IF(O339&gt;0.5,1,0)</f>
        <v/>
      </c>
      <c r="Q339" s="68">
        <f>O339-G339</f>
        <v/>
      </c>
      <c r="R339" s="69">
        <f>Q339^2</f>
        <v/>
      </c>
      <c r="S339">
        <f>IF(P339=G339,1,0)</f>
        <v/>
      </c>
      <c r="T339">
        <f>2*(O339-G339)*(1-O339)*O339</f>
        <v/>
      </c>
      <c r="U339">
        <f>2*(O339-G339)*(1-O339)*O339*C339</f>
        <v/>
      </c>
      <c r="V339">
        <f>2*(O339-G339)*(1-O339)*O339*D339</f>
        <v/>
      </c>
      <c r="W339">
        <f>2*(O339-G339)*(1-O339)*O339*E339</f>
        <v/>
      </c>
      <c r="X339">
        <f>2*(O339-G339)*(1-O339)*O339*F339</f>
        <v/>
      </c>
    </row>
    <row r="340" ht="14.25" customHeight="1" s="96">
      <c r="B340" s="66" t="n">
        <v>16</v>
      </c>
      <c r="C340" s="79" t="n">
        <v>5.7</v>
      </c>
      <c r="D340" s="67" t="n">
        <v>4.4</v>
      </c>
      <c r="E340" s="67" t="n">
        <v>1.5</v>
      </c>
      <c r="F340" s="67" t="n">
        <v>0.4</v>
      </c>
      <c r="G340" s="80" t="n">
        <v>0</v>
      </c>
      <c r="I340" s="66">
        <f>I339-$K$2*T339</f>
        <v/>
      </c>
      <c r="J340" s="67">
        <f>J339-$K$2*U339</f>
        <v/>
      </c>
      <c r="K340" s="67">
        <f>K339-$K$2*V339</f>
        <v/>
      </c>
      <c r="L340" s="67">
        <f>L339-$K$2*W339</f>
        <v/>
      </c>
      <c r="M340" s="67">
        <f>M339-$K$2*X339</f>
        <v/>
      </c>
      <c r="N340" s="67">
        <f>I340+J340*C340+K340*D340+L340*E340+F340*M340</f>
        <v/>
      </c>
      <c r="O340" s="67">
        <f>1/(1+EXP(-N340))</f>
        <v/>
      </c>
      <c r="P340" s="68">
        <f>IF(O340&gt;0.5,1,0)</f>
        <v/>
      </c>
      <c r="Q340" s="68">
        <f>O340-G340</f>
        <v/>
      </c>
      <c r="R340" s="69">
        <f>Q340^2</f>
        <v/>
      </c>
      <c r="S340">
        <f>IF(P340=G340,1,0)</f>
        <v/>
      </c>
      <c r="T340">
        <f>2*(O340-G340)*(1-O340)*O340</f>
        <v/>
      </c>
      <c r="U340">
        <f>2*(O340-G340)*(1-O340)*O340*C340</f>
        <v/>
      </c>
      <c r="V340">
        <f>2*(O340-G340)*(1-O340)*O340*D340</f>
        <v/>
      </c>
      <c r="W340">
        <f>2*(O340-G340)*(1-O340)*O340*E340</f>
        <v/>
      </c>
      <c r="X340">
        <f>2*(O340-G340)*(1-O340)*O340*F340</f>
        <v/>
      </c>
    </row>
    <row r="341" ht="14.25" customHeight="1" s="96">
      <c r="B341" s="66" t="n">
        <v>17</v>
      </c>
      <c r="C341" s="79" t="n">
        <v>5.4</v>
      </c>
      <c r="D341" s="67" t="n">
        <v>3.9</v>
      </c>
      <c r="E341" s="67" t="n">
        <v>1.3</v>
      </c>
      <c r="F341" s="67" t="n">
        <v>0.4</v>
      </c>
      <c r="G341" s="80" t="n">
        <v>0</v>
      </c>
      <c r="I341" s="66">
        <f>I340-$K$2*T340</f>
        <v/>
      </c>
      <c r="J341" s="67">
        <f>J340-$K$2*U340</f>
        <v/>
      </c>
      <c r="K341" s="67">
        <f>K340-$K$2*V340</f>
        <v/>
      </c>
      <c r="L341" s="67">
        <f>L340-$K$2*W340</f>
        <v/>
      </c>
      <c r="M341" s="67">
        <f>M340-$K$2*X340</f>
        <v/>
      </c>
      <c r="N341" s="67">
        <f>I341+J341*C341+K341*D341+L341*E341+F341*M341</f>
        <v/>
      </c>
      <c r="O341" s="67">
        <f>1/(1+EXP(-N341))</f>
        <v/>
      </c>
      <c r="P341" s="68">
        <f>IF(O341&gt;0.5,1,0)</f>
        <v/>
      </c>
      <c r="Q341" s="68">
        <f>O341-G341</f>
        <v/>
      </c>
      <c r="R341" s="69">
        <f>Q341^2</f>
        <v/>
      </c>
      <c r="S341">
        <f>IF(P341=G341,1,0)</f>
        <v/>
      </c>
      <c r="T341">
        <f>2*(O341-G341)*(1-O341)*O341</f>
        <v/>
      </c>
      <c r="U341">
        <f>2*(O341-G341)*(1-O341)*O341*C341</f>
        <v/>
      </c>
      <c r="V341">
        <f>2*(O341-G341)*(1-O341)*O341*D341</f>
        <v/>
      </c>
      <c r="W341">
        <f>2*(O341-G341)*(1-O341)*O341*E341</f>
        <v/>
      </c>
      <c r="X341">
        <f>2*(O341-G341)*(1-O341)*O341*F341</f>
        <v/>
      </c>
    </row>
    <row r="342" ht="14.25" customHeight="1" s="96">
      <c r="B342" s="66" t="n">
        <v>18</v>
      </c>
      <c r="C342" s="79" t="n">
        <v>5.1</v>
      </c>
      <c r="D342" s="67" t="n">
        <v>3.5</v>
      </c>
      <c r="E342" s="67" t="n">
        <v>1.4</v>
      </c>
      <c r="F342" s="67" t="n">
        <v>0.3</v>
      </c>
      <c r="G342" s="80" t="n">
        <v>0</v>
      </c>
      <c r="I342" s="66">
        <f>I341-$K$2*T341</f>
        <v/>
      </c>
      <c r="J342" s="67">
        <f>J341-$K$2*U341</f>
        <v/>
      </c>
      <c r="K342" s="67">
        <f>K341-$K$2*V341</f>
        <v/>
      </c>
      <c r="L342" s="67">
        <f>L341-$K$2*W341</f>
        <v/>
      </c>
      <c r="M342" s="67">
        <f>M341-$K$2*X341</f>
        <v/>
      </c>
      <c r="N342" s="67">
        <f>I342+J342*C342+K342*D342+L342*E342+F342*M342</f>
        <v/>
      </c>
      <c r="O342" s="67">
        <f>1/(1+EXP(-N342))</f>
        <v/>
      </c>
      <c r="P342" s="68">
        <f>IF(O342&gt;0.5,1,0)</f>
        <v/>
      </c>
      <c r="Q342" s="68">
        <f>O342-G342</f>
        <v/>
      </c>
      <c r="R342" s="69">
        <f>Q342^2</f>
        <v/>
      </c>
      <c r="S342">
        <f>IF(P342=G342,1,0)</f>
        <v/>
      </c>
      <c r="T342">
        <f>2*(O342-G342)*(1-O342)*O342</f>
        <v/>
      </c>
      <c r="U342">
        <f>2*(O342-G342)*(1-O342)*O342*C342</f>
        <v/>
      </c>
      <c r="V342">
        <f>2*(O342-G342)*(1-O342)*O342*D342</f>
        <v/>
      </c>
      <c r="W342">
        <f>2*(O342-G342)*(1-O342)*O342*E342</f>
        <v/>
      </c>
      <c r="X342">
        <f>2*(O342-G342)*(1-O342)*O342*F342</f>
        <v/>
      </c>
    </row>
    <row r="343" ht="14.25" customHeight="1" s="96">
      <c r="B343" s="66" t="n">
        <v>19</v>
      </c>
      <c r="C343" s="79" t="n">
        <v>5.7</v>
      </c>
      <c r="D343" s="67" t="n">
        <v>3.8</v>
      </c>
      <c r="E343" s="67" t="n">
        <v>1.7</v>
      </c>
      <c r="F343" s="67" t="n">
        <v>0.3</v>
      </c>
      <c r="G343" s="80" t="n">
        <v>0</v>
      </c>
      <c r="I343" s="66">
        <f>I342-$K$2*T342</f>
        <v/>
      </c>
      <c r="J343" s="67">
        <f>J342-$K$2*U342</f>
        <v/>
      </c>
      <c r="K343" s="67">
        <f>K342-$K$2*V342</f>
        <v/>
      </c>
      <c r="L343" s="67">
        <f>L342-$K$2*W342</f>
        <v/>
      </c>
      <c r="M343" s="67">
        <f>M342-$K$2*X342</f>
        <v/>
      </c>
      <c r="N343" s="67">
        <f>I343+J343*C343+K343*D343+L343*E343+F343*M343</f>
        <v/>
      </c>
      <c r="O343" s="67">
        <f>1/(1+EXP(-N343))</f>
        <v/>
      </c>
      <c r="P343" s="68">
        <f>IF(O343&gt;0.5,1,0)</f>
        <v/>
      </c>
      <c r="Q343" s="68">
        <f>O343-G343</f>
        <v/>
      </c>
      <c r="R343" s="69">
        <f>Q343^2</f>
        <v/>
      </c>
      <c r="S343">
        <f>IF(P343=G343,1,0)</f>
        <v/>
      </c>
      <c r="T343">
        <f>2*(O343-G343)*(1-O343)*O343</f>
        <v/>
      </c>
      <c r="U343">
        <f>2*(O343-G343)*(1-O343)*O343*C343</f>
        <v/>
      </c>
      <c r="V343">
        <f>2*(O343-G343)*(1-O343)*O343*D343</f>
        <v/>
      </c>
      <c r="W343">
        <f>2*(O343-G343)*(1-O343)*O343*E343</f>
        <v/>
      </c>
      <c r="X343">
        <f>2*(O343-G343)*(1-O343)*O343*F343</f>
        <v/>
      </c>
    </row>
    <row r="344" ht="14.25" customHeight="1" s="96">
      <c r="B344" s="66" t="n">
        <v>20</v>
      </c>
      <c r="C344" s="79" t="n">
        <v>5.1</v>
      </c>
      <c r="D344" s="67" t="n">
        <v>3.8</v>
      </c>
      <c r="E344" s="67" t="n">
        <v>1.5</v>
      </c>
      <c r="F344" s="67" t="n">
        <v>0.3</v>
      </c>
      <c r="G344" s="80" t="n">
        <v>0</v>
      </c>
      <c r="I344" s="66">
        <f>I343-$K$2*T343</f>
        <v/>
      </c>
      <c r="J344" s="67">
        <f>J343-$K$2*U343</f>
        <v/>
      </c>
      <c r="K344" s="67">
        <f>K343-$K$2*V343</f>
        <v/>
      </c>
      <c r="L344" s="67">
        <f>L343-$K$2*W343</f>
        <v/>
      </c>
      <c r="M344" s="67">
        <f>M343-$K$2*X343</f>
        <v/>
      </c>
      <c r="N344" s="67">
        <f>I344+J344*C344+K344*D344+L344*E344+F344*M344</f>
        <v/>
      </c>
      <c r="O344" s="67">
        <f>1/(1+EXP(-N344))</f>
        <v/>
      </c>
      <c r="P344" s="68">
        <f>IF(O344&gt;0.5,1,0)</f>
        <v/>
      </c>
      <c r="Q344" s="68">
        <f>O344-G344</f>
        <v/>
      </c>
      <c r="R344" s="69">
        <f>Q344^2</f>
        <v/>
      </c>
      <c r="S344">
        <f>IF(P344=G344,1,0)</f>
        <v/>
      </c>
      <c r="T344">
        <f>2*(O344-G344)*(1-O344)*O344</f>
        <v/>
      </c>
      <c r="U344">
        <f>2*(O344-G344)*(1-O344)*O344*C344</f>
        <v/>
      </c>
      <c r="V344">
        <f>2*(O344-G344)*(1-O344)*O344*D344</f>
        <v/>
      </c>
      <c r="W344">
        <f>2*(O344-G344)*(1-O344)*O344*E344</f>
        <v/>
      </c>
      <c r="X344">
        <f>2*(O344-G344)*(1-O344)*O344*F344</f>
        <v/>
      </c>
    </row>
    <row r="345" ht="14.25" customHeight="1" s="96">
      <c r="B345" s="66" t="n">
        <v>21</v>
      </c>
      <c r="C345" s="79" t="n">
        <v>5.4</v>
      </c>
      <c r="D345" s="67" t="n">
        <v>3.4</v>
      </c>
      <c r="E345" s="67" t="n">
        <v>1.7</v>
      </c>
      <c r="F345" s="67" t="n">
        <v>0.2</v>
      </c>
      <c r="G345" s="80" t="n">
        <v>0</v>
      </c>
      <c r="I345" s="66">
        <f>I344-$K$2*T344</f>
        <v/>
      </c>
      <c r="J345" s="67">
        <f>J344-$K$2*U344</f>
        <v/>
      </c>
      <c r="K345" s="67">
        <f>K344-$K$2*V344</f>
        <v/>
      </c>
      <c r="L345" s="67">
        <f>L344-$K$2*W344</f>
        <v/>
      </c>
      <c r="M345" s="67">
        <f>M344-$K$2*X344</f>
        <v/>
      </c>
      <c r="N345" s="67">
        <f>I345+J345*C345+K345*D345+L345*E345+F345*M345</f>
        <v/>
      </c>
      <c r="O345" s="67">
        <f>1/(1+EXP(-N345))</f>
        <v/>
      </c>
      <c r="P345" s="68">
        <f>IF(O345&gt;0.5,1,0)</f>
        <v/>
      </c>
      <c r="Q345" s="68">
        <f>O345-G345</f>
        <v/>
      </c>
      <c r="R345" s="69">
        <f>Q345^2</f>
        <v/>
      </c>
      <c r="S345">
        <f>IF(P345=G345,1,0)</f>
        <v/>
      </c>
      <c r="T345">
        <f>2*(O345-G345)*(1-O345)*O345</f>
        <v/>
      </c>
      <c r="U345">
        <f>2*(O345-G345)*(1-O345)*O345*C345</f>
        <v/>
      </c>
      <c r="V345">
        <f>2*(O345-G345)*(1-O345)*O345*D345</f>
        <v/>
      </c>
      <c r="W345">
        <f>2*(O345-G345)*(1-O345)*O345*E345</f>
        <v/>
      </c>
      <c r="X345">
        <f>2*(O345-G345)*(1-O345)*O345*F345</f>
        <v/>
      </c>
    </row>
    <row r="346" ht="14.25" customHeight="1" s="96">
      <c r="B346" s="66" t="n">
        <v>22</v>
      </c>
      <c r="C346" s="79" t="n">
        <v>5.1</v>
      </c>
      <c r="D346" s="67" t="n">
        <v>3.7</v>
      </c>
      <c r="E346" s="67" t="n">
        <v>1.5</v>
      </c>
      <c r="F346" s="67" t="n">
        <v>0.4</v>
      </c>
      <c r="G346" s="80" t="n">
        <v>0</v>
      </c>
      <c r="I346" s="66">
        <f>I345-$K$2*T345</f>
        <v/>
      </c>
      <c r="J346" s="67">
        <f>J345-$K$2*U345</f>
        <v/>
      </c>
      <c r="K346" s="67">
        <f>K345-$K$2*V345</f>
        <v/>
      </c>
      <c r="L346" s="67">
        <f>L345-$K$2*W345</f>
        <v/>
      </c>
      <c r="M346" s="67">
        <f>M345-$K$2*X345</f>
        <v/>
      </c>
      <c r="N346" s="67">
        <f>I346+J346*C346+K346*D346+L346*E346+F346*M346</f>
        <v/>
      </c>
      <c r="O346" s="67">
        <f>1/(1+EXP(-N346))</f>
        <v/>
      </c>
      <c r="P346" s="68">
        <f>IF(O346&gt;0.5,1,0)</f>
        <v/>
      </c>
      <c r="Q346" s="68">
        <f>O346-G346</f>
        <v/>
      </c>
      <c r="R346" s="69">
        <f>Q346^2</f>
        <v/>
      </c>
      <c r="S346">
        <f>IF(P346=G346,1,0)</f>
        <v/>
      </c>
      <c r="T346">
        <f>2*(O346-G346)*(1-O346)*O346</f>
        <v/>
      </c>
      <c r="U346">
        <f>2*(O346-G346)*(1-O346)*O346*C346</f>
        <v/>
      </c>
      <c r="V346">
        <f>2*(O346-G346)*(1-O346)*O346*D346</f>
        <v/>
      </c>
      <c r="W346">
        <f>2*(O346-G346)*(1-O346)*O346*E346</f>
        <v/>
      </c>
      <c r="X346">
        <f>2*(O346-G346)*(1-O346)*O346*F346</f>
        <v/>
      </c>
    </row>
    <row r="347" ht="14.25" customHeight="1" s="96">
      <c r="B347" s="66" t="n">
        <v>23</v>
      </c>
      <c r="C347" s="79" t="n">
        <v>4.6</v>
      </c>
      <c r="D347" s="67" t="n">
        <v>3.6</v>
      </c>
      <c r="E347" s="67" t="n">
        <v>1</v>
      </c>
      <c r="F347" s="67" t="n">
        <v>0.2</v>
      </c>
      <c r="G347" s="80" t="n">
        <v>0</v>
      </c>
      <c r="I347" s="66">
        <f>I346-$K$2*T346</f>
        <v/>
      </c>
      <c r="J347" s="67">
        <f>J346-$K$2*U346</f>
        <v/>
      </c>
      <c r="K347" s="67">
        <f>K346-$K$2*V346</f>
        <v/>
      </c>
      <c r="L347" s="67">
        <f>L346-$K$2*W346</f>
        <v/>
      </c>
      <c r="M347" s="67">
        <f>M346-$K$2*X346</f>
        <v/>
      </c>
      <c r="N347" s="67">
        <f>I347+J347*C347+K347*D347+L347*E347+F347*M347</f>
        <v/>
      </c>
      <c r="O347" s="67">
        <f>1/(1+EXP(-N347))</f>
        <v/>
      </c>
      <c r="P347" s="68">
        <f>IF(O347&gt;0.5,1,0)</f>
        <v/>
      </c>
      <c r="Q347" s="68">
        <f>O347-G347</f>
        <v/>
      </c>
      <c r="R347" s="69">
        <f>Q347^2</f>
        <v/>
      </c>
      <c r="S347">
        <f>IF(P347=G347,1,0)</f>
        <v/>
      </c>
      <c r="T347">
        <f>2*(O347-G347)*(1-O347)*O347</f>
        <v/>
      </c>
      <c r="U347">
        <f>2*(O347-G347)*(1-O347)*O347*C347</f>
        <v/>
      </c>
      <c r="V347">
        <f>2*(O347-G347)*(1-O347)*O347*D347</f>
        <v/>
      </c>
      <c r="W347">
        <f>2*(O347-G347)*(1-O347)*O347*E347</f>
        <v/>
      </c>
      <c r="X347">
        <f>2*(O347-G347)*(1-O347)*O347*F347</f>
        <v/>
      </c>
    </row>
    <row r="348" ht="14.25" customHeight="1" s="96">
      <c r="B348" s="66" t="n">
        <v>24</v>
      </c>
      <c r="C348" s="79" t="n">
        <v>5.1</v>
      </c>
      <c r="D348" s="67" t="n">
        <v>3.3</v>
      </c>
      <c r="E348" s="67" t="n">
        <v>1.7</v>
      </c>
      <c r="F348" s="67" t="n">
        <v>0.5</v>
      </c>
      <c r="G348" s="80" t="n">
        <v>0</v>
      </c>
      <c r="I348" s="66">
        <f>I347-$K$2*T347</f>
        <v/>
      </c>
      <c r="J348" s="67">
        <f>J347-$K$2*U347</f>
        <v/>
      </c>
      <c r="K348" s="67">
        <f>K347-$K$2*V347</f>
        <v/>
      </c>
      <c r="L348" s="67">
        <f>L347-$K$2*W347</f>
        <v/>
      </c>
      <c r="M348" s="67">
        <f>M347-$K$2*X347</f>
        <v/>
      </c>
      <c r="N348" s="67">
        <f>I348+J348*C348+K348*D348+L348*E348+F348*M348</f>
        <v/>
      </c>
      <c r="O348" s="67">
        <f>1/(1+EXP(-N348))</f>
        <v/>
      </c>
      <c r="P348" s="68">
        <f>IF(O348&gt;0.5,1,0)</f>
        <v/>
      </c>
      <c r="Q348" s="68">
        <f>O348-G348</f>
        <v/>
      </c>
      <c r="R348" s="69">
        <f>Q348^2</f>
        <v/>
      </c>
      <c r="S348">
        <f>IF(P348=G348,1,0)</f>
        <v/>
      </c>
      <c r="T348">
        <f>2*(O348-G348)*(1-O348)*O348</f>
        <v/>
      </c>
      <c r="U348">
        <f>2*(O348-G348)*(1-O348)*O348*C348</f>
        <v/>
      </c>
      <c r="V348">
        <f>2*(O348-G348)*(1-O348)*O348*D348</f>
        <v/>
      </c>
      <c r="W348">
        <f>2*(O348-G348)*(1-O348)*O348*E348</f>
        <v/>
      </c>
      <c r="X348">
        <f>2*(O348-G348)*(1-O348)*O348*F348</f>
        <v/>
      </c>
    </row>
    <row r="349" ht="14.25" customHeight="1" s="96">
      <c r="B349" s="66" t="n">
        <v>25</v>
      </c>
      <c r="C349" s="79" t="n">
        <v>4.8</v>
      </c>
      <c r="D349" s="67" t="n">
        <v>3.4</v>
      </c>
      <c r="E349" s="67" t="n">
        <v>1.9</v>
      </c>
      <c r="F349" s="67" t="n">
        <v>0.2</v>
      </c>
      <c r="G349" s="80" t="n">
        <v>0</v>
      </c>
      <c r="I349" s="66">
        <f>I348-$K$2*T348</f>
        <v/>
      </c>
      <c r="J349" s="67">
        <f>J348-$K$2*U348</f>
        <v/>
      </c>
      <c r="K349" s="67">
        <f>K348-$K$2*V348</f>
        <v/>
      </c>
      <c r="L349" s="67">
        <f>L348-$K$2*W348</f>
        <v/>
      </c>
      <c r="M349" s="67">
        <f>M348-$K$2*X348</f>
        <v/>
      </c>
      <c r="N349" s="67">
        <f>I349+J349*C349+K349*D349+L349*E349+F349*M349</f>
        <v/>
      </c>
      <c r="O349" s="67">
        <f>1/(1+EXP(-N349))</f>
        <v/>
      </c>
      <c r="P349" s="68">
        <f>IF(O349&gt;0.5,1,0)</f>
        <v/>
      </c>
      <c r="Q349" s="68">
        <f>O349-G349</f>
        <v/>
      </c>
      <c r="R349" s="69">
        <f>Q349^2</f>
        <v/>
      </c>
      <c r="S349">
        <f>IF(P349=G349,1,0)</f>
        <v/>
      </c>
      <c r="T349">
        <f>2*(O349-G349)*(1-O349)*O349</f>
        <v/>
      </c>
      <c r="U349">
        <f>2*(O349-G349)*(1-O349)*O349*C349</f>
        <v/>
      </c>
      <c r="V349">
        <f>2*(O349-G349)*(1-O349)*O349*D349</f>
        <v/>
      </c>
      <c r="W349">
        <f>2*(O349-G349)*(1-O349)*O349*E349</f>
        <v/>
      </c>
      <c r="X349">
        <f>2*(O349-G349)*(1-O349)*O349*F349</f>
        <v/>
      </c>
    </row>
    <row r="350" ht="14.25" customHeight="1" s="96">
      <c r="B350" s="66" t="n">
        <v>26</v>
      </c>
      <c r="C350" s="79" t="n">
        <v>5</v>
      </c>
      <c r="D350" s="67" t="n">
        <v>3</v>
      </c>
      <c r="E350" s="67" t="n">
        <v>1.6</v>
      </c>
      <c r="F350" s="67" t="n">
        <v>0.2</v>
      </c>
      <c r="G350" s="80" t="n">
        <v>0</v>
      </c>
      <c r="I350" s="66">
        <f>I349-$K$2*T349</f>
        <v/>
      </c>
      <c r="J350" s="67">
        <f>J349-$K$2*U349</f>
        <v/>
      </c>
      <c r="K350" s="67">
        <f>K349-$K$2*V349</f>
        <v/>
      </c>
      <c r="L350" s="67">
        <f>L349-$K$2*W349</f>
        <v/>
      </c>
      <c r="M350" s="67">
        <f>M349-$K$2*X349</f>
        <v/>
      </c>
      <c r="N350" s="67">
        <f>I350+J350*C350+K350*D350+L350*E350+F350*M350</f>
        <v/>
      </c>
      <c r="O350" s="67">
        <f>1/(1+EXP(-N350))</f>
        <v/>
      </c>
      <c r="P350" s="68">
        <f>IF(O350&gt;0.5,1,0)</f>
        <v/>
      </c>
      <c r="Q350" s="68">
        <f>O350-G350</f>
        <v/>
      </c>
      <c r="R350" s="69">
        <f>Q350^2</f>
        <v/>
      </c>
      <c r="S350">
        <f>IF(P350=G350,1,0)</f>
        <v/>
      </c>
      <c r="T350">
        <f>2*(O350-G350)*(1-O350)*O350</f>
        <v/>
      </c>
      <c r="U350">
        <f>2*(O350-G350)*(1-O350)*O350*C350</f>
        <v/>
      </c>
      <c r="V350">
        <f>2*(O350-G350)*(1-O350)*O350*D350</f>
        <v/>
      </c>
      <c r="W350">
        <f>2*(O350-G350)*(1-O350)*O350*E350</f>
        <v/>
      </c>
      <c r="X350">
        <f>2*(O350-G350)*(1-O350)*O350*F350</f>
        <v/>
      </c>
    </row>
    <row r="351" ht="14.25" customHeight="1" s="96">
      <c r="B351" s="66" t="n">
        <v>27</v>
      </c>
      <c r="C351" s="79" t="n">
        <v>5</v>
      </c>
      <c r="D351" s="67" t="n">
        <v>3.4</v>
      </c>
      <c r="E351" s="67" t="n">
        <v>1.6</v>
      </c>
      <c r="F351" s="67" t="n">
        <v>0.4</v>
      </c>
      <c r="G351" s="80" t="n">
        <v>0</v>
      </c>
      <c r="I351" s="66">
        <f>I350-$K$2*T350</f>
        <v/>
      </c>
      <c r="J351" s="67">
        <f>J350-$K$2*U350</f>
        <v/>
      </c>
      <c r="K351" s="67">
        <f>K350-$K$2*V350</f>
        <v/>
      </c>
      <c r="L351" s="67">
        <f>L350-$K$2*W350</f>
        <v/>
      </c>
      <c r="M351" s="67">
        <f>M350-$K$2*X350</f>
        <v/>
      </c>
      <c r="N351" s="67">
        <f>I351+J351*C351+K351*D351+L351*E351+F351*M351</f>
        <v/>
      </c>
      <c r="O351" s="67">
        <f>1/(1+EXP(-N351))</f>
        <v/>
      </c>
      <c r="P351" s="68">
        <f>IF(O351&gt;0.5,1,0)</f>
        <v/>
      </c>
      <c r="Q351" s="68">
        <f>O351-G351</f>
        <v/>
      </c>
      <c r="R351" s="69">
        <f>Q351^2</f>
        <v/>
      </c>
      <c r="S351">
        <f>IF(P351=G351,1,0)</f>
        <v/>
      </c>
      <c r="T351">
        <f>2*(O351-G351)*(1-O351)*O351</f>
        <v/>
      </c>
      <c r="U351">
        <f>2*(O351-G351)*(1-O351)*O351*C351</f>
        <v/>
      </c>
      <c r="V351">
        <f>2*(O351-G351)*(1-O351)*O351*D351</f>
        <v/>
      </c>
      <c r="W351">
        <f>2*(O351-G351)*(1-O351)*O351*E351</f>
        <v/>
      </c>
      <c r="X351">
        <f>2*(O351-G351)*(1-O351)*O351*F351</f>
        <v/>
      </c>
    </row>
    <row r="352" ht="14.25" customHeight="1" s="96">
      <c r="B352" s="66" t="n">
        <v>28</v>
      </c>
      <c r="C352" s="79" t="n">
        <v>5.2</v>
      </c>
      <c r="D352" s="67" t="n">
        <v>3.5</v>
      </c>
      <c r="E352" s="67" t="n">
        <v>1.5</v>
      </c>
      <c r="F352" s="67" t="n">
        <v>0.2</v>
      </c>
      <c r="G352" s="80" t="n">
        <v>0</v>
      </c>
      <c r="I352" s="66">
        <f>I351-$K$2*T351</f>
        <v/>
      </c>
      <c r="J352" s="67">
        <f>J351-$K$2*U351</f>
        <v/>
      </c>
      <c r="K352" s="67">
        <f>K351-$K$2*V351</f>
        <v/>
      </c>
      <c r="L352" s="67">
        <f>L351-$K$2*W351</f>
        <v/>
      </c>
      <c r="M352" s="67">
        <f>M351-$K$2*X351</f>
        <v/>
      </c>
      <c r="N352" s="67">
        <f>I352+J352*C352+K352*D352+L352*E352+F352*M352</f>
        <v/>
      </c>
      <c r="O352" s="67">
        <f>1/(1+EXP(-N352))</f>
        <v/>
      </c>
      <c r="P352" s="68">
        <f>IF(O352&gt;0.5,1,0)</f>
        <v/>
      </c>
      <c r="Q352" s="68">
        <f>O352-G352</f>
        <v/>
      </c>
      <c r="R352" s="69">
        <f>Q352^2</f>
        <v/>
      </c>
      <c r="S352">
        <f>IF(P352=G352,1,0)</f>
        <v/>
      </c>
      <c r="T352">
        <f>2*(O352-G352)*(1-O352)*O352</f>
        <v/>
      </c>
      <c r="U352">
        <f>2*(O352-G352)*(1-O352)*O352*C352</f>
        <v/>
      </c>
      <c r="V352">
        <f>2*(O352-G352)*(1-O352)*O352*D352</f>
        <v/>
      </c>
      <c r="W352">
        <f>2*(O352-G352)*(1-O352)*O352*E352</f>
        <v/>
      </c>
      <c r="X352">
        <f>2*(O352-G352)*(1-O352)*O352*F352</f>
        <v/>
      </c>
    </row>
    <row r="353" ht="14.25" customHeight="1" s="96">
      <c r="B353" s="66" t="n">
        <v>29</v>
      </c>
      <c r="C353" s="79" t="n">
        <v>5.2</v>
      </c>
      <c r="D353" s="67" t="n">
        <v>3.4</v>
      </c>
      <c r="E353" s="67" t="n">
        <v>1.4</v>
      </c>
      <c r="F353" s="67" t="n">
        <v>0.2</v>
      </c>
      <c r="G353" s="80" t="n">
        <v>0</v>
      </c>
      <c r="I353" s="66">
        <f>I352-$K$2*T352</f>
        <v/>
      </c>
      <c r="J353" s="67">
        <f>J352-$K$2*U352</f>
        <v/>
      </c>
      <c r="K353" s="67">
        <f>K352-$K$2*V352</f>
        <v/>
      </c>
      <c r="L353" s="67">
        <f>L352-$K$2*W352</f>
        <v/>
      </c>
      <c r="M353" s="67">
        <f>M352-$K$2*X352</f>
        <v/>
      </c>
      <c r="N353" s="67">
        <f>I353+J353*C353+K353*D353+L353*E353+F353*M353</f>
        <v/>
      </c>
      <c r="O353" s="67">
        <f>1/(1+EXP(-N353))</f>
        <v/>
      </c>
      <c r="P353" s="68">
        <f>IF(O353&gt;0.5,1,0)</f>
        <v/>
      </c>
      <c r="Q353" s="68">
        <f>O353-G353</f>
        <v/>
      </c>
      <c r="R353" s="69">
        <f>Q353^2</f>
        <v/>
      </c>
      <c r="S353">
        <f>IF(P353=G353,1,0)</f>
        <v/>
      </c>
      <c r="T353">
        <f>2*(O353-G353)*(1-O353)*O353</f>
        <v/>
      </c>
      <c r="U353">
        <f>2*(O353-G353)*(1-O353)*O353*C353</f>
        <v/>
      </c>
      <c r="V353">
        <f>2*(O353-G353)*(1-O353)*O353*D353</f>
        <v/>
      </c>
      <c r="W353">
        <f>2*(O353-G353)*(1-O353)*O353*E353</f>
        <v/>
      </c>
      <c r="X353">
        <f>2*(O353-G353)*(1-O353)*O353*F353</f>
        <v/>
      </c>
    </row>
    <row r="354" ht="14.25" customHeight="1" s="96">
      <c r="B354" s="66" t="n">
        <v>30</v>
      </c>
      <c r="C354" s="79" t="n">
        <v>4.7</v>
      </c>
      <c r="D354" s="67" t="n">
        <v>3.2</v>
      </c>
      <c r="E354" s="67" t="n">
        <v>1.6</v>
      </c>
      <c r="F354" s="67" t="n">
        <v>0.2</v>
      </c>
      <c r="G354" s="80" t="n">
        <v>0</v>
      </c>
      <c r="I354" s="66">
        <f>I353-$K$2*T353</f>
        <v/>
      </c>
      <c r="J354" s="67">
        <f>J353-$K$2*U353</f>
        <v/>
      </c>
      <c r="K354" s="67">
        <f>K353-$K$2*V353</f>
        <v/>
      </c>
      <c r="L354" s="67">
        <f>L353-$K$2*W353</f>
        <v/>
      </c>
      <c r="M354" s="67">
        <f>M353-$K$2*X353</f>
        <v/>
      </c>
      <c r="N354" s="67">
        <f>I354+J354*C354+K354*D354+L354*E354+F354*M354</f>
        <v/>
      </c>
      <c r="O354" s="67">
        <f>1/(1+EXP(-N354))</f>
        <v/>
      </c>
      <c r="P354" s="68">
        <f>IF(O354&gt;0.5,1,0)</f>
        <v/>
      </c>
      <c r="Q354" s="68">
        <f>O354-G354</f>
        <v/>
      </c>
      <c r="R354" s="69">
        <f>Q354^2</f>
        <v/>
      </c>
      <c r="S354">
        <f>IF(P354=G354,1,0)</f>
        <v/>
      </c>
      <c r="T354">
        <f>2*(O354-G354)*(1-O354)*O354</f>
        <v/>
      </c>
      <c r="U354">
        <f>2*(O354-G354)*(1-O354)*O354*C354</f>
        <v/>
      </c>
      <c r="V354">
        <f>2*(O354-G354)*(1-O354)*O354*D354</f>
        <v/>
      </c>
      <c r="W354">
        <f>2*(O354-G354)*(1-O354)*O354*E354</f>
        <v/>
      </c>
      <c r="X354">
        <f>2*(O354-G354)*(1-O354)*O354*F354</f>
        <v/>
      </c>
    </row>
    <row r="355" ht="14.25" customHeight="1" s="96">
      <c r="B355" s="66" t="n">
        <v>31</v>
      </c>
      <c r="C355" s="79" t="n">
        <v>4.8</v>
      </c>
      <c r="D355" s="67" t="n">
        <v>3.1</v>
      </c>
      <c r="E355" s="67" t="n">
        <v>1.6</v>
      </c>
      <c r="F355" s="67" t="n">
        <v>0.2</v>
      </c>
      <c r="G355" s="80" t="n">
        <v>0</v>
      </c>
      <c r="I355" s="66">
        <f>I354-$K$2*T354</f>
        <v/>
      </c>
      <c r="J355" s="67">
        <f>J354-$K$2*U354</f>
        <v/>
      </c>
      <c r="K355" s="67">
        <f>K354-$K$2*V354</f>
        <v/>
      </c>
      <c r="L355" s="67">
        <f>L354-$K$2*W354</f>
        <v/>
      </c>
      <c r="M355" s="67">
        <f>M354-$K$2*X354</f>
        <v/>
      </c>
      <c r="N355" s="67">
        <f>I355+J355*C355+K355*D355+L355*E355+F355*M355</f>
        <v/>
      </c>
      <c r="O355" s="67">
        <f>1/(1+EXP(-N355))</f>
        <v/>
      </c>
      <c r="P355" s="68">
        <f>IF(O355&gt;0.5,1,0)</f>
        <v/>
      </c>
      <c r="Q355" s="68">
        <f>O355-G355</f>
        <v/>
      </c>
      <c r="R355" s="69">
        <f>Q355^2</f>
        <v/>
      </c>
      <c r="S355">
        <f>IF(P355=G355,1,0)</f>
        <v/>
      </c>
      <c r="T355">
        <f>2*(O355-G355)*(1-O355)*O355</f>
        <v/>
      </c>
      <c r="U355">
        <f>2*(O355-G355)*(1-O355)*O355*C355</f>
        <v/>
      </c>
      <c r="V355">
        <f>2*(O355-G355)*(1-O355)*O355*D355</f>
        <v/>
      </c>
      <c r="W355">
        <f>2*(O355-G355)*(1-O355)*O355*E355</f>
        <v/>
      </c>
      <c r="X355">
        <f>2*(O355-G355)*(1-O355)*O355*F355</f>
        <v/>
      </c>
    </row>
    <row r="356" ht="14.25" customHeight="1" s="96">
      <c r="B356" s="66" t="n">
        <v>32</v>
      </c>
      <c r="C356" s="79" t="n">
        <v>5.4</v>
      </c>
      <c r="D356" s="67" t="n">
        <v>3.4</v>
      </c>
      <c r="E356" s="67" t="n">
        <v>1.5</v>
      </c>
      <c r="F356" s="67" t="n">
        <v>0.4</v>
      </c>
      <c r="G356" s="80" t="n">
        <v>0</v>
      </c>
      <c r="I356" s="66">
        <f>I355-$K$2*T355</f>
        <v/>
      </c>
      <c r="J356" s="67">
        <f>J355-$K$2*U355</f>
        <v/>
      </c>
      <c r="K356" s="67">
        <f>K355-$K$2*V355</f>
        <v/>
      </c>
      <c r="L356" s="67">
        <f>L355-$K$2*W355</f>
        <v/>
      </c>
      <c r="M356" s="67">
        <f>M355-$K$2*X355</f>
        <v/>
      </c>
      <c r="N356" s="67">
        <f>I356+J356*C356+K356*D356+L356*E356+F356*M356</f>
        <v/>
      </c>
      <c r="O356" s="67">
        <f>1/(1+EXP(-N356))</f>
        <v/>
      </c>
      <c r="P356" s="68">
        <f>IF(O356&gt;0.5,1,0)</f>
        <v/>
      </c>
      <c r="Q356" s="68">
        <f>O356-G356</f>
        <v/>
      </c>
      <c r="R356" s="69">
        <f>Q356^2</f>
        <v/>
      </c>
      <c r="S356">
        <f>IF(P356=G356,1,0)</f>
        <v/>
      </c>
      <c r="T356">
        <f>2*(O356-G356)*(1-O356)*O356</f>
        <v/>
      </c>
      <c r="U356">
        <f>2*(O356-G356)*(1-O356)*O356*C356</f>
        <v/>
      </c>
      <c r="V356">
        <f>2*(O356-G356)*(1-O356)*O356*D356</f>
        <v/>
      </c>
      <c r="W356">
        <f>2*(O356-G356)*(1-O356)*O356*E356</f>
        <v/>
      </c>
      <c r="X356">
        <f>2*(O356-G356)*(1-O356)*O356*F356</f>
        <v/>
      </c>
    </row>
    <row r="357" ht="14.25" customHeight="1" s="96">
      <c r="B357" s="66" t="n">
        <v>33</v>
      </c>
      <c r="C357" s="79" t="n">
        <v>5.2</v>
      </c>
      <c r="D357" s="67" t="n">
        <v>4.1</v>
      </c>
      <c r="E357" s="67" t="n">
        <v>1.5</v>
      </c>
      <c r="F357" s="67" t="n">
        <v>0.1</v>
      </c>
      <c r="G357" s="80" t="n">
        <v>0</v>
      </c>
      <c r="I357" s="66">
        <f>I356-$K$2*T356</f>
        <v/>
      </c>
      <c r="J357" s="67">
        <f>J356-$K$2*U356</f>
        <v/>
      </c>
      <c r="K357" s="67">
        <f>K356-$K$2*V356</f>
        <v/>
      </c>
      <c r="L357" s="67">
        <f>L356-$K$2*W356</f>
        <v/>
      </c>
      <c r="M357" s="67">
        <f>M356-$K$2*X356</f>
        <v/>
      </c>
      <c r="N357" s="67">
        <f>I357+J357*C357+K357*D357+L357*E357+F357*M357</f>
        <v/>
      </c>
      <c r="O357" s="67">
        <f>1/(1+EXP(-N357))</f>
        <v/>
      </c>
      <c r="P357" s="68">
        <f>IF(O357&gt;0.5,1,0)</f>
        <v/>
      </c>
      <c r="Q357" s="68">
        <f>O357-G357</f>
        <v/>
      </c>
      <c r="R357" s="69">
        <f>Q357^2</f>
        <v/>
      </c>
      <c r="S357">
        <f>IF(P357=G357,1,0)</f>
        <v/>
      </c>
      <c r="T357">
        <f>2*(O357-G357)*(1-O357)*O357</f>
        <v/>
      </c>
      <c r="U357">
        <f>2*(O357-G357)*(1-O357)*O357*C357</f>
        <v/>
      </c>
      <c r="V357">
        <f>2*(O357-G357)*(1-O357)*O357*D357</f>
        <v/>
      </c>
      <c r="W357">
        <f>2*(O357-G357)*(1-O357)*O357*E357</f>
        <v/>
      </c>
      <c r="X357">
        <f>2*(O357-G357)*(1-O357)*O357*F357</f>
        <v/>
      </c>
    </row>
    <row r="358" ht="14.25" customHeight="1" s="96">
      <c r="B358" s="66" t="n">
        <v>34</v>
      </c>
      <c r="C358" s="79" t="n">
        <v>5.5</v>
      </c>
      <c r="D358" s="67" t="n">
        <v>4.2</v>
      </c>
      <c r="E358" s="67" t="n">
        <v>1.4</v>
      </c>
      <c r="F358" s="67" t="n">
        <v>0.2</v>
      </c>
      <c r="G358" s="80" t="n">
        <v>0</v>
      </c>
      <c r="I358" s="66">
        <f>I357-$K$2*T357</f>
        <v/>
      </c>
      <c r="J358" s="67">
        <f>J357-$K$2*U357</f>
        <v/>
      </c>
      <c r="K358" s="67">
        <f>K357-$K$2*V357</f>
        <v/>
      </c>
      <c r="L358" s="67">
        <f>L357-$K$2*W357</f>
        <v/>
      </c>
      <c r="M358" s="67">
        <f>M357-$K$2*X357</f>
        <v/>
      </c>
      <c r="N358" s="67">
        <f>I358+J358*C358+K358*D358+L358*E358+F358*M358</f>
        <v/>
      </c>
      <c r="O358" s="67">
        <f>1/(1+EXP(-N358))</f>
        <v/>
      </c>
      <c r="P358" s="68">
        <f>IF(O358&gt;0.5,1,0)</f>
        <v/>
      </c>
      <c r="Q358" s="68">
        <f>O358-G358</f>
        <v/>
      </c>
      <c r="R358" s="69">
        <f>Q358^2</f>
        <v/>
      </c>
      <c r="S358">
        <f>IF(P358=G358,1,0)</f>
        <v/>
      </c>
      <c r="T358">
        <f>2*(O358-G358)*(1-O358)*O358</f>
        <v/>
      </c>
      <c r="U358">
        <f>2*(O358-G358)*(1-O358)*O358*C358</f>
        <v/>
      </c>
      <c r="V358">
        <f>2*(O358-G358)*(1-O358)*O358*D358</f>
        <v/>
      </c>
      <c r="W358">
        <f>2*(O358-G358)*(1-O358)*O358*E358</f>
        <v/>
      </c>
      <c r="X358">
        <f>2*(O358-G358)*(1-O358)*O358*F358</f>
        <v/>
      </c>
    </row>
    <row r="359" ht="14.25" customHeight="1" s="96">
      <c r="B359" s="66" t="n">
        <v>35</v>
      </c>
      <c r="C359" s="79" t="n">
        <v>4.9</v>
      </c>
      <c r="D359" s="67" t="n">
        <v>3.1</v>
      </c>
      <c r="E359" s="67" t="n">
        <v>1.5</v>
      </c>
      <c r="F359" s="67" t="n">
        <v>0.1</v>
      </c>
      <c r="G359" s="80" t="n">
        <v>0</v>
      </c>
      <c r="I359" s="66">
        <f>I358-$K$2*T358</f>
        <v/>
      </c>
      <c r="J359" s="67">
        <f>J358-$K$2*U358</f>
        <v/>
      </c>
      <c r="K359" s="67">
        <f>K358-$K$2*V358</f>
        <v/>
      </c>
      <c r="L359" s="67">
        <f>L358-$K$2*W358</f>
        <v/>
      </c>
      <c r="M359" s="67">
        <f>M358-$K$2*X358</f>
        <v/>
      </c>
      <c r="N359" s="67">
        <f>I359+J359*C359+K359*D359+L359*E359+F359*M359</f>
        <v/>
      </c>
      <c r="O359" s="67">
        <f>1/(1+EXP(-N359))</f>
        <v/>
      </c>
      <c r="P359" s="68">
        <f>IF(O359&gt;0.5,1,0)</f>
        <v/>
      </c>
      <c r="Q359" s="68">
        <f>O359-G359</f>
        <v/>
      </c>
      <c r="R359" s="69">
        <f>Q359^2</f>
        <v/>
      </c>
      <c r="S359">
        <f>IF(P359=G359,1,0)</f>
        <v/>
      </c>
      <c r="T359">
        <f>2*(O359-G359)*(1-O359)*O359</f>
        <v/>
      </c>
      <c r="U359">
        <f>2*(O359-G359)*(1-O359)*O359*C359</f>
        <v/>
      </c>
      <c r="V359">
        <f>2*(O359-G359)*(1-O359)*O359*D359</f>
        <v/>
      </c>
      <c r="W359">
        <f>2*(O359-G359)*(1-O359)*O359*E359</f>
        <v/>
      </c>
      <c r="X359">
        <f>2*(O359-G359)*(1-O359)*O359*F359</f>
        <v/>
      </c>
    </row>
    <row r="360" ht="14.25" customHeight="1" s="96">
      <c r="B360" s="66" t="n">
        <v>36</v>
      </c>
      <c r="C360" s="79" t="n">
        <v>5</v>
      </c>
      <c r="D360" s="67" t="n">
        <v>3.2</v>
      </c>
      <c r="E360" s="67" t="n">
        <v>1.2</v>
      </c>
      <c r="F360" s="67" t="n">
        <v>0.2</v>
      </c>
      <c r="G360" s="80" t="n">
        <v>0</v>
      </c>
      <c r="I360" s="66">
        <f>I359-$K$2*T359</f>
        <v/>
      </c>
      <c r="J360" s="67">
        <f>J359-$K$2*U359</f>
        <v/>
      </c>
      <c r="K360" s="67">
        <f>K359-$K$2*V359</f>
        <v/>
      </c>
      <c r="L360" s="67">
        <f>L359-$K$2*W359</f>
        <v/>
      </c>
      <c r="M360" s="67">
        <f>M359-$K$2*X359</f>
        <v/>
      </c>
      <c r="N360" s="67">
        <f>I360+J360*C360+K360*D360+L360*E360+F360*M360</f>
        <v/>
      </c>
      <c r="O360" s="67">
        <f>1/(1+EXP(-N360))</f>
        <v/>
      </c>
      <c r="P360" s="68">
        <f>IF(O360&gt;0.5,1,0)</f>
        <v/>
      </c>
      <c r="Q360" s="68">
        <f>O360-G360</f>
        <v/>
      </c>
      <c r="R360" s="69">
        <f>Q360^2</f>
        <v/>
      </c>
      <c r="S360">
        <f>IF(P360=G360,1,0)</f>
        <v/>
      </c>
      <c r="T360">
        <f>2*(O360-G360)*(1-O360)*O360</f>
        <v/>
      </c>
      <c r="U360">
        <f>2*(O360-G360)*(1-O360)*O360*C360</f>
        <v/>
      </c>
      <c r="V360">
        <f>2*(O360-G360)*(1-O360)*O360*D360</f>
        <v/>
      </c>
      <c r="W360">
        <f>2*(O360-G360)*(1-O360)*O360*E360</f>
        <v/>
      </c>
      <c r="X360">
        <f>2*(O360-G360)*(1-O360)*O360*F360</f>
        <v/>
      </c>
    </row>
    <row r="361" ht="14.25" customHeight="1" s="96">
      <c r="B361" s="66" t="n">
        <v>37</v>
      </c>
      <c r="C361" s="79" t="n">
        <v>5.5</v>
      </c>
      <c r="D361" s="67" t="n">
        <v>3.5</v>
      </c>
      <c r="E361" s="67" t="n">
        <v>1.3</v>
      </c>
      <c r="F361" s="67" t="n">
        <v>0.2</v>
      </c>
      <c r="G361" s="80" t="n">
        <v>0</v>
      </c>
      <c r="I361" s="66">
        <f>I360-$K$2*T360</f>
        <v/>
      </c>
      <c r="J361" s="67">
        <f>J360-$K$2*U360</f>
        <v/>
      </c>
      <c r="K361" s="67">
        <f>K360-$K$2*V360</f>
        <v/>
      </c>
      <c r="L361" s="67">
        <f>L360-$K$2*W360</f>
        <v/>
      </c>
      <c r="M361" s="67">
        <f>M360-$K$2*X360</f>
        <v/>
      </c>
      <c r="N361" s="67">
        <f>I361+J361*C361+K361*D361+L361*E361+F361*M361</f>
        <v/>
      </c>
      <c r="O361" s="67">
        <f>1/(1+EXP(-N361))</f>
        <v/>
      </c>
      <c r="P361" s="68">
        <f>IF(O361&gt;0.5,1,0)</f>
        <v/>
      </c>
      <c r="Q361" s="68">
        <f>O361-G361</f>
        <v/>
      </c>
      <c r="R361" s="69">
        <f>Q361^2</f>
        <v/>
      </c>
      <c r="S361">
        <f>IF(P361=G361,1,0)</f>
        <v/>
      </c>
      <c r="T361">
        <f>2*(O361-G361)*(1-O361)*O361</f>
        <v/>
      </c>
      <c r="U361">
        <f>2*(O361-G361)*(1-O361)*O361*C361</f>
        <v/>
      </c>
      <c r="V361">
        <f>2*(O361-G361)*(1-O361)*O361*D361</f>
        <v/>
      </c>
      <c r="W361">
        <f>2*(O361-G361)*(1-O361)*O361*E361</f>
        <v/>
      </c>
      <c r="X361">
        <f>2*(O361-G361)*(1-O361)*O361*F361</f>
        <v/>
      </c>
    </row>
    <row r="362" ht="14.25" customHeight="1" s="96">
      <c r="B362" s="66" t="n">
        <v>38</v>
      </c>
      <c r="C362" s="79" t="n">
        <v>4.9</v>
      </c>
      <c r="D362" s="67" t="n">
        <v>3.1</v>
      </c>
      <c r="E362" s="67" t="n">
        <v>1.5</v>
      </c>
      <c r="F362" s="67" t="n">
        <v>0.1</v>
      </c>
      <c r="G362" s="80" t="n">
        <v>0</v>
      </c>
      <c r="I362" s="66">
        <f>I361-$K$2*T361</f>
        <v/>
      </c>
      <c r="J362" s="67">
        <f>J361-$K$2*U361</f>
        <v/>
      </c>
      <c r="K362" s="67">
        <f>K361-$K$2*V361</f>
        <v/>
      </c>
      <c r="L362" s="67">
        <f>L361-$K$2*W361</f>
        <v/>
      </c>
      <c r="M362" s="67">
        <f>M361-$K$2*X361</f>
        <v/>
      </c>
      <c r="N362" s="67">
        <f>I362+J362*C362+K362*D362+L362*E362+F362*M362</f>
        <v/>
      </c>
      <c r="O362" s="67">
        <f>1/(1+EXP(-N362))</f>
        <v/>
      </c>
      <c r="P362" s="68">
        <f>IF(O362&gt;0.5,1,0)</f>
        <v/>
      </c>
      <c r="Q362" s="68">
        <f>O362-G362</f>
        <v/>
      </c>
      <c r="R362" s="69">
        <f>Q362^2</f>
        <v/>
      </c>
      <c r="S362">
        <f>IF(P362=G362,1,0)</f>
        <v/>
      </c>
      <c r="T362">
        <f>2*(O362-G362)*(1-O362)*O362</f>
        <v/>
      </c>
      <c r="U362">
        <f>2*(O362-G362)*(1-O362)*O362*C362</f>
        <v/>
      </c>
      <c r="V362">
        <f>2*(O362-G362)*(1-O362)*O362*D362</f>
        <v/>
      </c>
      <c r="W362">
        <f>2*(O362-G362)*(1-O362)*O362*E362</f>
        <v/>
      </c>
      <c r="X362">
        <f>2*(O362-G362)*(1-O362)*O362*F362</f>
        <v/>
      </c>
    </row>
    <row r="363" ht="14.25" customHeight="1" s="96">
      <c r="B363" s="66" t="n">
        <v>39</v>
      </c>
      <c r="C363" s="79" t="n">
        <v>4.4</v>
      </c>
      <c r="D363" s="67" t="n">
        <v>3</v>
      </c>
      <c r="E363" s="67" t="n">
        <v>1.3</v>
      </c>
      <c r="F363" s="67" t="n">
        <v>0.2</v>
      </c>
      <c r="G363" s="80" t="n">
        <v>0</v>
      </c>
      <c r="I363" s="66">
        <f>I362-$K$2*T362</f>
        <v/>
      </c>
      <c r="J363" s="67">
        <f>J362-$K$2*U362</f>
        <v/>
      </c>
      <c r="K363" s="67">
        <f>K362-$K$2*V362</f>
        <v/>
      </c>
      <c r="L363" s="67">
        <f>L362-$K$2*W362</f>
        <v/>
      </c>
      <c r="M363" s="67">
        <f>M362-$K$2*X362</f>
        <v/>
      </c>
      <c r="N363" s="67">
        <f>I363+J363*C363+K363*D363+L363*E363+F363*M363</f>
        <v/>
      </c>
      <c r="O363" s="67">
        <f>1/(1+EXP(-N363))</f>
        <v/>
      </c>
      <c r="P363" s="68">
        <f>IF(O363&gt;0.5,1,0)</f>
        <v/>
      </c>
      <c r="Q363" s="68">
        <f>O363-G363</f>
        <v/>
      </c>
      <c r="R363" s="69">
        <f>Q363^2</f>
        <v/>
      </c>
      <c r="S363">
        <f>IF(P363=G363,1,0)</f>
        <v/>
      </c>
      <c r="T363">
        <f>2*(O363-G363)*(1-O363)*O363</f>
        <v/>
      </c>
      <c r="U363">
        <f>2*(O363-G363)*(1-O363)*O363*C363</f>
        <v/>
      </c>
      <c r="V363">
        <f>2*(O363-G363)*(1-O363)*O363*D363</f>
        <v/>
      </c>
      <c r="W363">
        <f>2*(O363-G363)*(1-O363)*O363*E363</f>
        <v/>
      </c>
      <c r="X363">
        <f>2*(O363-G363)*(1-O363)*O363*F363</f>
        <v/>
      </c>
    </row>
    <row r="364" ht="14.25" customHeight="1" s="96">
      <c r="B364" s="66" t="n">
        <v>40</v>
      </c>
      <c r="C364" s="79" t="n">
        <v>5.1</v>
      </c>
      <c r="D364" s="67" t="n">
        <v>3.4</v>
      </c>
      <c r="E364" s="67" t="n">
        <v>1.5</v>
      </c>
      <c r="F364" s="67" t="n">
        <v>0.2</v>
      </c>
      <c r="G364" s="80" t="n">
        <v>0</v>
      </c>
      <c r="I364" s="66">
        <f>I363-$K$2*T363</f>
        <v/>
      </c>
      <c r="J364" s="67">
        <f>J363-$K$2*U363</f>
        <v/>
      </c>
      <c r="K364" s="67">
        <f>K363-$K$2*V363</f>
        <v/>
      </c>
      <c r="L364" s="67">
        <f>L363-$K$2*W363</f>
        <v/>
      </c>
      <c r="M364" s="67">
        <f>M363-$K$2*X363</f>
        <v/>
      </c>
      <c r="N364" s="67">
        <f>I364+J364*C364+K364*D364+L364*E364+F364*M364</f>
        <v/>
      </c>
      <c r="O364" s="67">
        <f>1/(1+EXP(-N364))</f>
        <v/>
      </c>
      <c r="P364" s="68">
        <f>IF(O364&gt;0.5,1,0)</f>
        <v/>
      </c>
      <c r="Q364" s="68">
        <f>O364-G364</f>
        <v/>
      </c>
      <c r="R364" s="69">
        <f>Q364^2</f>
        <v/>
      </c>
      <c r="S364">
        <f>IF(P364=G364,1,0)</f>
        <v/>
      </c>
      <c r="T364">
        <f>2*(O364-G364)*(1-O364)*O364</f>
        <v/>
      </c>
      <c r="U364">
        <f>2*(O364-G364)*(1-O364)*O364*C364</f>
        <v/>
      </c>
      <c r="V364">
        <f>2*(O364-G364)*(1-O364)*O364*D364</f>
        <v/>
      </c>
      <c r="W364">
        <f>2*(O364-G364)*(1-O364)*O364*E364</f>
        <v/>
      </c>
      <c r="X364">
        <f>2*(O364-G364)*(1-O364)*O364*F364</f>
        <v/>
      </c>
    </row>
    <row r="365" ht="14.25" customHeight="1" s="96">
      <c r="B365" s="66" t="n">
        <v>41</v>
      </c>
      <c r="C365" s="79" t="n">
        <v>7</v>
      </c>
      <c r="D365" s="67" t="n">
        <v>3.2</v>
      </c>
      <c r="E365" s="67" t="n">
        <v>4.7</v>
      </c>
      <c r="F365" s="67" t="n">
        <v>1.4</v>
      </c>
      <c r="G365" s="80" t="n">
        <v>1</v>
      </c>
      <c r="I365" s="66">
        <f>I364-$K$2*T364</f>
        <v/>
      </c>
      <c r="J365" s="67">
        <f>J364-$K$2*U364</f>
        <v/>
      </c>
      <c r="K365" s="67">
        <f>K364-$K$2*V364</f>
        <v/>
      </c>
      <c r="L365" s="67">
        <f>L364-$K$2*W364</f>
        <v/>
      </c>
      <c r="M365" s="67">
        <f>M364-$K$2*X364</f>
        <v/>
      </c>
      <c r="N365" s="67">
        <f>I365+J365*C365+K365*D365+L365*E365+F365*M365</f>
        <v/>
      </c>
      <c r="O365" s="67">
        <f>1/(1+EXP(-N365))</f>
        <v/>
      </c>
      <c r="P365" s="68">
        <f>IF(O365&gt;0.5,1,0)</f>
        <v/>
      </c>
      <c r="Q365" s="68">
        <f>O365-G365</f>
        <v/>
      </c>
      <c r="R365" s="69">
        <f>Q365^2</f>
        <v/>
      </c>
      <c r="S365">
        <f>IF(P365=G365,1,0)</f>
        <v/>
      </c>
      <c r="T365">
        <f>2*(O365-G365)*(1-O365)*O365</f>
        <v/>
      </c>
      <c r="U365">
        <f>2*(O365-G365)*(1-O365)*O365*C365</f>
        <v/>
      </c>
      <c r="V365">
        <f>2*(O365-G365)*(1-O365)*O365*D365</f>
        <v/>
      </c>
      <c r="W365">
        <f>2*(O365-G365)*(1-O365)*O365*E365</f>
        <v/>
      </c>
      <c r="X365">
        <f>2*(O365-G365)*(1-O365)*O365*F365</f>
        <v/>
      </c>
    </row>
    <row r="366" ht="14.25" customHeight="1" s="96">
      <c r="B366" s="66" t="n">
        <v>42</v>
      </c>
      <c r="C366" s="79" t="n">
        <v>6.4</v>
      </c>
      <c r="D366" s="67" t="n">
        <v>3.2</v>
      </c>
      <c r="E366" s="67" t="n">
        <v>4.5</v>
      </c>
      <c r="F366" s="67" t="n">
        <v>1.5</v>
      </c>
      <c r="G366" s="80" t="n">
        <v>1</v>
      </c>
      <c r="I366" s="66">
        <f>I365-$K$2*T365</f>
        <v/>
      </c>
      <c r="J366" s="67">
        <f>J365-$K$2*U365</f>
        <v/>
      </c>
      <c r="K366" s="67">
        <f>K365-$K$2*V365</f>
        <v/>
      </c>
      <c r="L366" s="67">
        <f>L365-$K$2*W365</f>
        <v/>
      </c>
      <c r="M366" s="67">
        <f>M365-$K$2*X365</f>
        <v/>
      </c>
      <c r="N366" s="67">
        <f>I366+J366*C366+K366*D366+L366*E366+F366*M366</f>
        <v/>
      </c>
      <c r="O366" s="67">
        <f>1/(1+EXP(-N366))</f>
        <v/>
      </c>
      <c r="P366" s="68">
        <f>IF(O366&gt;0.5,1,0)</f>
        <v/>
      </c>
      <c r="Q366" s="68">
        <f>O366-G366</f>
        <v/>
      </c>
      <c r="R366" s="69">
        <f>Q366^2</f>
        <v/>
      </c>
      <c r="S366">
        <f>IF(P366=G366,1,0)</f>
        <v/>
      </c>
      <c r="T366">
        <f>2*(O366-G366)*(1-O366)*O366</f>
        <v/>
      </c>
      <c r="U366">
        <f>2*(O366-G366)*(1-O366)*O366*C366</f>
        <v/>
      </c>
      <c r="V366">
        <f>2*(O366-G366)*(1-O366)*O366*D366</f>
        <v/>
      </c>
      <c r="W366">
        <f>2*(O366-G366)*(1-O366)*O366*E366</f>
        <v/>
      </c>
      <c r="X366">
        <f>2*(O366-G366)*(1-O366)*O366*F366</f>
        <v/>
      </c>
    </row>
    <row r="367" ht="14.25" customHeight="1" s="96">
      <c r="B367" s="66" t="n">
        <v>43</v>
      </c>
      <c r="C367" s="79" t="n">
        <v>6.9</v>
      </c>
      <c r="D367" s="67" t="n">
        <v>3.1</v>
      </c>
      <c r="E367" s="67" t="n">
        <v>4.9</v>
      </c>
      <c r="F367" s="67" t="n">
        <v>1.5</v>
      </c>
      <c r="G367" s="80" t="n">
        <v>1</v>
      </c>
      <c r="I367" s="66">
        <f>I366-$K$2*T366</f>
        <v/>
      </c>
      <c r="J367" s="67">
        <f>J366-$K$2*U366</f>
        <v/>
      </c>
      <c r="K367" s="67">
        <f>K366-$K$2*V366</f>
        <v/>
      </c>
      <c r="L367" s="67">
        <f>L366-$K$2*W366</f>
        <v/>
      </c>
      <c r="M367" s="67">
        <f>M366-$K$2*X366</f>
        <v/>
      </c>
      <c r="N367" s="67">
        <f>I367+J367*C367+K367*D367+L367*E367+F367*M367</f>
        <v/>
      </c>
      <c r="O367" s="67">
        <f>1/(1+EXP(-N367))</f>
        <v/>
      </c>
      <c r="P367" s="68">
        <f>IF(O367&gt;0.5,1,0)</f>
        <v/>
      </c>
      <c r="Q367" s="68">
        <f>O367-G367</f>
        <v/>
      </c>
      <c r="R367" s="69">
        <f>Q367^2</f>
        <v/>
      </c>
      <c r="S367">
        <f>IF(P367=G367,1,0)</f>
        <v/>
      </c>
      <c r="T367">
        <f>2*(O367-G367)*(1-O367)*O367</f>
        <v/>
      </c>
      <c r="U367">
        <f>2*(O367-G367)*(1-O367)*O367*C367</f>
        <v/>
      </c>
      <c r="V367">
        <f>2*(O367-G367)*(1-O367)*O367*D367</f>
        <v/>
      </c>
      <c r="W367">
        <f>2*(O367-G367)*(1-O367)*O367*E367</f>
        <v/>
      </c>
      <c r="X367">
        <f>2*(O367-G367)*(1-O367)*O367*F367</f>
        <v/>
      </c>
    </row>
    <row r="368" ht="14.25" customHeight="1" s="96">
      <c r="B368" s="66" t="n">
        <v>44</v>
      </c>
      <c r="C368" s="79" t="n">
        <v>5.5</v>
      </c>
      <c r="D368" s="67" t="n">
        <v>2.3</v>
      </c>
      <c r="E368" s="67" t="n">
        <v>4</v>
      </c>
      <c r="F368" s="67" t="n">
        <v>1.3</v>
      </c>
      <c r="G368" s="80" t="n">
        <v>1</v>
      </c>
      <c r="I368" s="66">
        <f>I367-$K$2*T367</f>
        <v/>
      </c>
      <c r="J368" s="67">
        <f>J367-$K$2*U367</f>
        <v/>
      </c>
      <c r="K368" s="67">
        <f>K367-$K$2*V367</f>
        <v/>
      </c>
      <c r="L368" s="67">
        <f>L367-$K$2*W367</f>
        <v/>
      </c>
      <c r="M368" s="67">
        <f>M367-$K$2*X367</f>
        <v/>
      </c>
      <c r="N368" s="67">
        <f>I368+J368*C368+K368*D368+L368*E368+F368*M368</f>
        <v/>
      </c>
      <c r="O368" s="67">
        <f>1/(1+EXP(-N368))</f>
        <v/>
      </c>
      <c r="P368" s="68">
        <f>IF(O368&gt;0.5,1,0)</f>
        <v/>
      </c>
      <c r="Q368" s="68">
        <f>O368-G368</f>
        <v/>
      </c>
      <c r="R368" s="69">
        <f>Q368^2</f>
        <v/>
      </c>
      <c r="S368">
        <f>IF(P368=G368,1,0)</f>
        <v/>
      </c>
      <c r="T368">
        <f>2*(O368-G368)*(1-O368)*O368</f>
        <v/>
      </c>
      <c r="U368">
        <f>2*(O368-G368)*(1-O368)*O368*C368</f>
        <v/>
      </c>
      <c r="V368">
        <f>2*(O368-G368)*(1-O368)*O368*D368</f>
        <v/>
      </c>
      <c r="W368">
        <f>2*(O368-G368)*(1-O368)*O368*E368</f>
        <v/>
      </c>
      <c r="X368">
        <f>2*(O368-G368)*(1-O368)*O368*F368</f>
        <v/>
      </c>
    </row>
    <row r="369" ht="14.25" customHeight="1" s="96">
      <c r="B369" s="66" t="n">
        <v>45</v>
      </c>
      <c r="C369" s="79" t="n">
        <v>6.5</v>
      </c>
      <c r="D369" s="67" t="n">
        <v>2.8</v>
      </c>
      <c r="E369" s="67" t="n">
        <v>4.6</v>
      </c>
      <c r="F369" s="67" t="n">
        <v>1.5</v>
      </c>
      <c r="G369" s="80" t="n">
        <v>1</v>
      </c>
      <c r="I369" s="66">
        <f>I368-$K$2*T368</f>
        <v/>
      </c>
      <c r="J369" s="67">
        <f>J368-$K$2*U368</f>
        <v/>
      </c>
      <c r="K369" s="67">
        <f>K368-$K$2*V368</f>
        <v/>
      </c>
      <c r="L369" s="67">
        <f>L368-$K$2*W368</f>
        <v/>
      </c>
      <c r="M369" s="67">
        <f>M368-$K$2*X368</f>
        <v/>
      </c>
      <c r="N369" s="67">
        <f>I369+J369*C369+K369*D369+L369*E369+F369*M369</f>
        <v/>
      </c>
      <c r="O369" s="67">
        <f>1/(1+EXP(-N369))</f>
        <v/>
      </c>
      <c r="P369" s="68">
        <f>IF(O369&gt;0.5,1,0)</f>
        <v/>
      </c>
      <c r="Q369" s="68">
        <f>O369-G369</f>
        <v/>
      </c>
      <c r="R369" s="69">
        <f>Q369^2</f>
        <v/>
      </c>
      <c r="S369">
        <f>IF(P369=G369,1,0)</f>
        <v/>
      </c>
      <c r="T369">
        <f>2*(O369-G369)*(1-O369)*O369</f>
        <v/>
      </c>
      <c r="U369">
        <f>2*(O369-G369)*(1-O369)*O369*C369</f>
        <v/>
      </c>
      <c r="V369">
        <f>2*(O369-G369)*(1-O369)*O369*D369</f>
        <v/>
      </c>
      <c r="W369">
        <f>2*(O369-G369)*(1-O369)*O369*E369</f>
        <v/>
      </c>
      <c r="X369">
        <f>2*(O369-G369)*(1-O369)*O369*F369</f>
        <v/>
      </c>
    </row>
    <row r="370" ht="14.25" customHeight="1" s="96">
      <c r="B370" s="66" t="n">
        <v>46</v>
      </c>
      <c r="C370" s="79" t="n">
        <v>5.7</v>
      </c>
      <c r="D370" s="67" t="n">
        <v>2.8</v>
      </c>
      <c r="E370" s="67" t="n">
        <v>4.5</v>
      </c>
      <c r="F370" s="67" t="n">
        <v>1.3</v>
      </c>
      <c r="G370" s="80" t="n">
        <v>1</v>
      </c>
      <c r="I370" s="66">
        <f>I369-$K$2*T369</f>
        <v/>
      </c>
      <c r="J370" s="67">
        <f>J369-$K$2*U369</f>
        <v/>
      </c>
      <c r="K370" s="67">
        <f>K369-$K$2*V369</f>
        <v/>
      </c>
      <c r="L370" s="67">
        <f>L369-$K$2*W369</f>
        <v/>
      </c>
      <c r="M370" s="67">
        <f>M369-$K$2*X369</f>
        <v/>
      </c>
      <c r="N370" s="67">
        <f>I370+J370*C370+K370*D370+L370*E370+F370*M370</f>
        <v/>
      </c>
      <c r="O370" s="67">
        <f>1/(1+EXP(-N370))</f>
        <v/>
      </c>
      <c r="P370" s="68">
        <f>IF(O370&gt;0.5,1,0)</f>
        <v/>
      </c>
      <c r="Q370" s="68">
        <f>O370-G370</f>
        <v/>
      </c>
      <c r="R370" s="69">
        <f>Q370^2</f>
        <v/>
      </c>
      <c r="S370">
        <f>IF(P370=G370,1,0)</f>
        <v/>
      </c>
      <c r="T370">
        <f>2*(O370-G370)*(1-O370)*O370</f>
        <v/>
      </c>
      <c r="U370">
        <f>2*(O370-G370)*(1-O370)*O370*C370</f>
        <v/>
      </c>
      <c r="V370">
        <f>2*(O370-G370)*(1-O370)*O370*D370</f>
        <v/>
      </c>
      <c r="W370">
        <f>2*(O370-G370)*(1-O370)*O370*E370</f>
        <v/>
      </c>
      <c r="X370">
        <f>2*(O370-G370)*(1-O370)*O370*F370</f>
        <v/>
      </c>
    </row>
    <row r="371" ht="14.25" customHeight="1" s="96">
      <c r="B371" s="66" t="n">
        <v>47</v>
      </c>
      <c r="C371" s="79" t="n">
        <v>6.3</v>
      </c>
      <c r="D371" s="67" t="n">
        <v>3.3</v>
      </c>
      <c r="E371" s="67" t="n">
        <v>4.7</v>
      </c>
      <c r="F371" s="67" t="n">
        <v>1.6</v>
      </c>
      <c r="G371" s="80" t="n">
        <v>1</v>
      </c>
      <c r="I371" s="66">
        <f>I370-$K$2*T370</f>
        <v/>
      </c>
      <c r="J371" s="67">
        <f>J370-$K$2*U370</f>
        <v/>
      </c>
      <c r="K371" s="67">
        <f>K370-$K$2*V370</f>
        <v/>
      </c>
      <c r="L371" s="67">
        <f>L370-$K$2*W370</f>
        <v/>
      </c>
      <c r="M371" s="67">
        <f>M370-$K$2*X370</f>
        <v/>
      </c>
      <c r="N371" s="67">
        <f>I371+J371*C371+K371*D371+L371*E371+F371*M371</f>
        <v/>
      </c>
      <c r="O371" s="67">
        <f>1/(1+EXP(-N371))</f>
        <v/>
      </c>
      <c r="P371" s="68">
        <f>IF(O371&gt;0.5,1,0)</f>
        <v/>
      </c>
      <c r="Q371" s="68">
        <f>O371-G371</f>
        <v/>
      </c>
      <c r="R371" s="69">
        <f>Q371^2</f>
        <v/>
      </c>
      <c r="S371">
        <f>IF(P371=G371,1,0)</f>
        <v/>
      </c>
      <c r="T371">
        <f>2*(O371-G371)*(1-O371)*O371</f>
        <v/>
      </c>
      <c r="U371">
        <f>2*(O371-G371)*(1-O371)*O371*C371</f>
        <v/>
      </c>
      <c r="V371">
        <f>2*(O371-G371)*(1-O371)*O371*D371</f>
        <v/>
      </c>
      <c r="W371">
        <f>2*(O371-G371)*(1-O371)*O371*E371</f>
        <v/>
      </c>
      <c r="X371">
        <f>2*(O371-G371)*(1-O371)*O371*F371</f>
        <v/>
      </c>
    </row>
    <row r="372" ht="14.25" customHeight="1" s="96">
      <c r="B372" s="66" t="n">
        <v>48</v>
      </c>
      <c r="C372" s="79" t="n">
        <v>4.9</v>
      </c>
      <c r="D372" s="67" t="n">
        <v>2.4</v>
      </c>
      <c r="E372" s="67" t="n">
        <v>3.3</v>
      </c>
      <c r="F372" s="67" t="n">
        <v>1</v>
      </c>
      <c r="G372" s="80" t="n">
        <v>1</v>
      </c>
      <c r="I372" s="66">
        <f>I371-$K$2*T371</f>
        <v/>
      </c>
      <c r="J372" s="67">
        <f>J371-$K$2*U371</f>
        <v/>
      </c>
      <c r="K372" s="67">
        <f>K371-$K$2*V371</f>
        <v/>
      </c>
      <c r="L372" s="67">
        <f>L371-$K$2*W371</f>
        <v/>
      </c>
      <c r="M372" s="67">
        <f>M371-$K$2*X371</f>
        <v/>
      </c>
      <c r="N372" s="67">
        <f>I372+J372*C372+K372*D372+L372*E372+F372*M372</f>
        <v/>
      </c>
      <c r="O372" s="67">
        <f>1/(1+EXP(-N372))</f>
        <v/>
      </c>
      <c r="P372" s="68">
        <f>IF(O372&gt;0.5,1,0)</f>
        <v/>
      </c>
      <c r="Q372" s="68">
        <f>O372-G372</f>
        <v/>
      </c>
      <c r="R372" s="69">
        <f>Q372^2</f>
        <v/>
      </c>
      <c r="S372">
        <f>IF(P372=G372,1,0)</f>
        <v/>
      </c>
      <c r="T372">
        <f>2*(O372-G372)*(1-O372)*O372</f>
        <v/>
      </c>
      <c r="U372">
        <f>2*(O372-G372)*(1-O372)*O372*C372</f>
        <v/>
      </c>
      <c r="V372">
        <f>2*(O372-G372)*(1-O372)*O372*D372</f>
        <v/>
      </c>
      <c r="W372">
        <f>2*(O372-G372)*(1-O372)*O372*E372</f>
        <v/>
      </c>
      <c r="X372">
        <f>2*(O372-G372)*(1-O372)*O372*F372</f>
        <v/>
      </c>
    </row>
    <row r="373" ht="14.25" customHeight="1" s="96">
      <c r="B373" s="66" t="n">
        <v>49</v>
      </c>
      <c r="C373" s="79" t="n">
        <v>6.6</v>
      </c>
      <c r="D373" s="67" t="n">
        <v>2.9</v>
      </c>
      <c r="E373" s="67" t="n">
        <v>4.6</v>
      </c>
      <c r="F373" s="67" t="n">
        <v>1.3</v>
      </c>
      <c r="G373" s="80" t="n">
        <v>1</v>
      </c>
      <c r="I373" s="66">
        <f>I372-$K$2*T372</f>
        <v/>
      </c>
      <c r="J373" s="67">
        <f>J372-$K$2*U372</f>
        <v/>
      </c>
      <c r="K373" s="67">
        <f>K372-$K$2*V372</f>
        <v/>
      </c>
      <c r="L373" s="67">
        <f>L372-$K$2*W372</f>
        <v/>
      </c>
      <c r="M373" s="67">
        <f>M372-$K$2*X372</f>
        <v/>
      </c>
      <c r="N373" s="67">
        <f>I373+J373*C373+K373*D373+L373*E373+F373*M373</f>
        <v/>
      </c>
      <c r="O373" s="67">
        <f>1/(1+EXP(-N373))</f>
        <v/>
      </c>
      <c r="P373" s="68">
        <f>IF(O373&gt;0.5,1,0)</f>
        <v/>
      </c>
      <c r="Q373" s="68">
        <f>O373-G373</f>
        <v/>
      </c>
      <c r="R373" s="69">
        <f>Q373^2</f>
        <v/>
      </c>
      <c r="S373">
        <f>IF(P373=G373,1,0)</f>
        <v/>
      </c>
      <c r="T373">
        <f>2*(O373-G373)*(1-O373)*O373</f>
        <v/>
      </c>
      <c r="U373">
        <f>2*(O373-G373)*(1-O373)*O373*C373</f>
        <v/>
      </c>
      <c r="V373">
        <f>2*(O373-G373)*(1-O373)*O373*D373</f>
        <v/>
      </c>
      <c r="W373">
        <f>2*(O373-G373)*(1-O373)*O373*E373</f>
        <v/>
      </c>
      <c r="X373">
        <f>2*(O373-G373)*(1-O373)*O373*F373</f>
        <v/>
      </c>
    </row>
    <row r="374" ht="14.25" customHeight="1" s="96">
      <c r="B374" s="66" t="n">
        <v>50</v>
      </c>
      <c r="C374" s="79" t="n">
        <v>5.2</v>
      </c>
      <c r="D374" s="67" t="n">
        <v>2.7</v>
      </c>
      <c r="E374" s="67" t="n">
        <v>3.9</v>
      </c>
      <c r="F374" s="67" t="n">
        <v>1.4</v>
      </c>
      <c r="G374" s="80" t="n">
        <v>1</v>
      </c>
      <c r="I374" s="66">
        <f>I373-$K$2*T373</f>
        <v/>
      </c>
      <c r="J374" s="67">
        <f>J373-$K$2*U373</f>
        <v/>
      </c>
      <c r="K374" s="67">
        <f>K373-$K$2*V373</f>
        <v/>
      </c>
      <c r="L374" s="67">
        <f>L373-$K$2*W373</f>
        <v/>
      </c>
      <c r="M374" s="67">
        <f>M373-$K$2*X373</f>
        <v/>
      </c>
      <c r="N374" s="67">
        <f>I374+J374*C374+K374*D374+L374*E374+F374*M374</f>
        <v/>
      </c>
      <c r="O374" s="67">
        <f>1/(1+EXP(-N374))</f>
        <v/>
      </c>
      <c r="P374" s="68">
        <f>IF(O374&gt;0.5,1,0)</f>
        <v/>
      </c>
      <c r="Q374" s="68">
        <f>O374-G374</f>
        <v/>
      </c>
      <c r="R374" s="69">
        <f>Q374^2</f>
        <v/>
      </c>
      <c r="S374">
        <f>IF(P374=G374,1,0)</f>
        <v/>
      </c>
      <c r="T374">
        <f>2*(O374-G374)*(1-O374)*O374</f>
        <v/>
      </c>
      <c r="U374">
        <f>2*(O374-G374)*(1-O374)*O374*C374</f>
        <v/>
      </c>
      <c r="V374">
        <f>2*(O374-G374)*(1-O374)*O374*D374</f>
        <v/>
      </c>
      <c r="W374">
        <f>2*(O374-G374)*(1-O374)*O374*E374</f>
        <v/>
      </c>
      <c r="X374">
        <f>2*(O374-G374)*(1-O374)*O374*F374</f>
        <v/>
      </c>
    </row>
    <row r="375" ht="14.25" customHeight="1" s="96">
      <c r="B375" s="66" t="n">
        <v>51</v>
      </c>
      <c r="C375" s="79" t="n">
        <v>5</v>
      </c>
      <c r="D375" s="67" t="n">
        <v>2</v>
      </c>
      <c r="E375" s="67" t="n">
        <v>3.5</v>
      </c>
      <c r="F375" s="67" t="n">
        <v>1</v>
      </c>
      <c r="G375" s="80" t="n">
        <v>1</v>
      </c>
      <c r="I375" s="66">
        <f>I374-$K$2*T374</f>
        <v/>
      </c>
      <c r="J375" s="67">
        <f>J374-$K$2*U374</f>
        <v/>
      </c>
      <c r="K375" s="67">
        <f>K374-$K$2*V374</f>
        <v/>
      </c>
      <c r="L375" s="67">
        <f>L374-$K$2*W374</f>
        <v/>
      </c>
      <c r="M375" s="67">
        <f>M374-$K$2*X374</f>
        <v/>
      </c>
      <c r="N375" s="67">
        <f>I375+J375*C375+K375*D375+L375*E375+F375*M375</f>
        <v/>
      </c>
      <c r="O375" s="67">
        <f>1/(1+EXP(-N375))</f>
        <v/>
      </c>
      <c r="P375" s="68">
        <f>IF(O375&gt;0.5,1,0)</f>
        <v/>
      </c>
      <c r="Q375" s="68">
        <f>O375-G375</f>
        <v/>
      </c>
      <c r="R375" s="69">
        <f>Q375^2</f>
        <v/>
      </c>
      <c r="S375">
        <f>IF(P375=G375,1,0)</f>
        <v/>
      </c>
      <c r="T375">
        <f>2*(O375-G375)*(1-O375)*O375</f>
        <v/>
      </c>
      <c r="U375">
        <f>2*(O375-G375)*(1-O375)*O375*C375</f>
        <v/>
      </c>
      <c r="V375">
        <f>2*(O375-G375)*(1-O375)*O375*D375</f>
        <v/>
      </c>
      <c r="W375">
        <f>2*(O375-G375)*(1-O375)*O375*E375</f>
        <v/>
      </c>
      <c r="X375">
        <f>2*(O375-G375)*(1-O375)*O375*F375</f>
        <v/>
      </c>
    </row>
    <row r="376" ht="14.25" customHeight="1" s="96">
      <c r="B376" s="66" t="n">
        <v>52</v>
      </c>
      <c r="C376" s="79" t="n">
        <v>5.9</v>
      </c>
      <c r="D376" s="67" t="n">
        <v>3</v>
      </c>
      <c r="E376" s="67" t="n">
        <v>4.2</v>
      </c>
      <c r="F376" s="67" t="n">
        <v>1.5</v>
      </c>
      <c r="G376" s="80" t="n">
        <v>1</v>
      </c>
      <c r="I376" s="66">
        <f>I375-$K$2*T375</f>
        <v/>
      </c>
      <c r="J376" s="67">
        <f>J375-$K$2*U375</f>
        <v/>
      </c>
      <c r="K376" s="67">
        <f>K375-$K$2*V375</f>
        <v/>
      </c>
      <c r="L376" s="67">
        <f>L375-$K$2*W375</f>
        <v/>
      </c>
      <c r="M376" s="67">
        <f>M375-$K$2*X375</f>
        <v/>
      </c>
      <c r="N376" s="67">
        <f>I376+J376*C376+K376*D376+L376*E376+F376*M376</f>
        <v/>
      </c>
      <c r="O376" s="67">
        <f>1/(1+EXP(-N376))</f>
        <v/>
      </c>
      <c r="P376" s="68">
        <f>IF(O376&gt;0.5,1,0)</f>
        <v/>
      </c>
      <c r="Q376" s="68">
        <f>O376-G376</f>
        <v/>
      </c>
      <c r="R376" s="69">
        <f>Q376^2</f>
        <v/>
      </c>
      <c r="S376">
        <f>IF(P376=G376,1,0)</f>
        <v/>
      </c>
      <c r="T376">
        <f>2*(O376-G376)*(1-O376)*O376</f>
        <v/>
      </c>
      <c r="U376">
        <f>2*(O376-G376)*(1-O376)*O376*C376</f>
        <v/>
      </c>
      <c r="V376">
        <f>2*(O376-G376)*(1-O376)*O376*D376</f>
        <v/>
      </c>
      <c r="W376">
        <f>2*(O376-G376)*(1-O376)*O376*E376</f>
        <v/>
      </c>
      <c r="X376">
        <f>2*(O376-G376)*(1-O376)*O376*F376</f>
        <v/>
      </c>
    </row>
    <row r="377" ht="14.25" customHeight="1" s="96">
      <c r="B377" s="66" t="n">
        <v>53</v>
      </c>
      <c r="C377" s="79" t="n">
        <v>6</v>
      </c>
      <c r="D377" s="67" t="n">
        <v>2.2</v>
      </c>
      <c r="E377" s="67" t="n">
        <v>4</v>
      </c>
      <c r="F377" s="67" t="n">
        <v>1</v>
      </c>
      <c r="G377" s="80" t="n">
        <v>1</v>
      </c>
      <c r="I377" s="66">
        <f>I376-$K$2*T376</f>
        <v/>
      </c>
      <c r="J377" s="67">
        <f>J376-$K$2*U376</f>
        <v/>
      </c>
      <c r="K377" s="67">
        <f>K376-$K$2*V376</f>
        <v/>
      </c>
      <c r="L377" s="67">
        <f>L376-$K$2*W376</f>
        <v/>
      </c>
      <c r="M377" s="67">
        <f>M376-$K$2*X376</f>
        <v/>
      </c>
      <c r="N377" s="67">
        <f>I377+J377*C377+K377*D377+L377*E377+F377*M377</f>
        <v/>
      </c>
      <c r="O377" s="67">
        <f>1/(1+EXP(-N377))</f>
        <v/>
      </c>
      <c r="P377" s="68">
        <f>IF(O377&gt;0.5,1,0)</f>
        <v/>
      </c>
      <c r="Q377" s="68">
        <f>O377-G377</f>
        <v/>
      </c>
      <c r="R377" s="69">
        <f>Q377^2</f>
        <v/>
      </c>
      <c r="S377">
        <f>IF(P377=G377,1,0)</f>
        <v/>
      </c>
      <c r="T377">
        <f>2*(O377-G377)*(1-O377)*O377</f>
        <v/>
      </c>
      <c r="U377">
        <f>2*(O377-G377)*(1-O377)*O377*C377</f>
        <v/>
      </c>
      <c r="V377">
        <f>2*(O377-G377)*(1-O377)*O377*D377</f>
        <v/>
      </c>
      <c r="W377">
        <f>2*(O377-G377)*(1-O377)*O377*E377</f>
        <v/>
      </c>
      <c r="X377">
        <f>2*(O377-G377)*(1-O377)*O377*F377</f>
        <v/>
      </c>
    </row>
    <row r="378" ht="14.25" customHeight="1" s="96">
      <c r="B378" s="66" t="n">
        <v>54</v>
      </c>
      <c r="C378" s="79" t="n">
        <v>6.1</v>
      </c>
      <c r="D378" s="67" t="n">
        <v>2.9</v>
      </c>
      <c r="E378" s="67" t="n">
        <v>4.7</v>
      </c>
      <c r="F378" s="67" t="n">
        <v>1.4</v>
      </c>
      <c r="G378" s="80" t="n">
        <v>1</v>
      </c>
      <c r="I378" s="66">
        <f>I377-$K$2*T377</f>
        <v/>
      </c>
      <c r="J378" s="67">
        <f>J377-$K$2*U377</f>
        <v/>
      </c>
      <c r="K378" s="67">
        <f>K377-$K$2*V377</f>
        <v/>
      </c>
      <c r="L378" s="67">
        <f>L377-$K$2*W377</f>
        <v/>
      </c>
      <c r="M378" s="67">
        <f>M377-$K$2*X377</f>
        <v/>
      </c>
      <c r="N378" s="67">
        <f>I378+J378*C378+K378*D378+L378*E378+F378*M378</f>
        <v/>
      </c>
      <c r="O378" s="67">
        <f>1/(1+EXP(-N378))</f>
        <v/>
      </c>
      <c r="P378" s="68">
        <f>IF(O378&gt;0.5,1,0)</f>
        <v/>
      </c>
      <c r="Q378" s="68">
        <f>O378-G378</f>
        <v/>
      </c>
      <c r="R378" s="69">
        <f>Q378^2</f>
        <v/>
      </c>
      <c r="S378">
        <f>IF(P378=G378,1,0)</f>
        <v/>
      </c>
      <c r="T378">
        <f>2*(O378-G378)*(1-O378)*O378</f>
        <v/>
      </c>
      <c r="U378">
        <f>2*(O378-G378)*(1-O378)*O378*C378</f>
        <v/>
      </c>
      <c r="V378">
        <f>2*(O378-G378)*(1-O378)*O378*D378</f>
        <v/>
      </c>
      <c r="W378">
        <f>2*(O378-G378)*(1-O378)*O378*E378</f>
        <v/>
      </c>
      <c r="X378">
        <f>2*(O378-G378)*(1-O378)*O378*F378</f>
        <v/>
      </c>
    </row>
    <row r="379" ht="14.25" customHeight="1" s="96">
      <c r="B379" s="66" t="n">
        <v>55</v>
      </c>
      <c r="C379" s="79" t="n">
        <v>5.6</v>
      </c>
      <c r="D379" s="67" t="n">
        <v>2.9</v>
      </c>
      <c r="E379" s="67" t="n">
        <v>3.6</v>
      </c>
      <c r="F379" s="67" t="n">
        <v>1.3</v>
      </c>
      <c r="G379" s="80" t="n">
        <v>1</v>
      </c>
      <c r="I379" s="66">
        <f>I378-$K$2*T378</f>
        <v/>
      </c>
      <c r="J379" s="67">
        <f>J378-$K$2*U378</f>
        <v/>
      </c>
      <c r="K379" s="67">
        <f>K378-$K$2*V378</f>
        <v/>
      </c>
      <c r="L379" s="67">
        <f>L378-$K$2*W378</f>
        <v/>
      </c>
      <c r="M379" s="67">
        <f>M378-$K$2*X378</f>
        <v/>
      </c>
      <c r="N379" s="67">
        <f>I379+J379*C379+K379*D379+L379*E379+F379*M379</f>
        <v/>
      </c>
      <c r="O379" s="67">
        <f>1/(1+EXP(-N379))</f>
        <v/>
      </c>
      <c r="P379" s="68">
        <f>IF(O379&gt;0.5,1,0)</f>
        <v/>
      </c>
      <c r="Q379" s="68">
        <f>O379-G379</f>
        <v/>
      </c>
      <c r="R379" s="69">
        <f>Q379^2</f>
        <v/>
      </c>
      <c r="S379">
        <f>IF(P379=G379,1,0)</f>
        <v/>
      </c>
      <c r="T379">
        <f>2*(O379-G379)*(1-O379)*O379</f>
        <v/>
      </c>
      <c r="U379">
        <f>2*(O379-G379)*(1-O379)*O379*C379</f>
        <v/>
      </c>
      <c r="V379">
        <f>2*(O379-G379)*(1-O379)*O379*D379</f>
        <v/>
      </c>
      <c r="W379">
        <f>2*(O379-G379)*(1-O379)*O379*E379</f>
        <v/>
      </c>
      <c r="X379">
        <f>2*(O379-G379)*(1-O379)*O379*F379</f>
        <v/>
      </c>
    </row>
    <row r="380" ht="14.25" customHeight="1" s="96">
      <c r="B380" s="66" t="n">
        <v>56</v>
      </c>
      <c r="C380" s="79" t="n">
        <v>6.7</v>
      </c>
      <c r="D380" s="67" t="n">
        <v>3.1</v>
      </c>
      <c r="E380" s="67" t="n">
        <v>4.4</v>
      </c>
      <c r="F380" s="67" t="n">
        <v>1.4</v>
      </c>
      <c r="G380" s="80" t="n">
        <v>1</v>
      </c>
      <c r="I380" s="66">
        <f>I379-$K$2*T379</f>
        <v/>
      </c>
      <c r="J380" s="67">
        <f>J379-$K$2*U379</f>
        <v/>
      </c>
      <c r="K380" s="67">
        <f>K379-$K$2*V379</f>
        <v/>
      </c>
      <c r="L380" s="67">
        <f>L379-$K$2*W379</f>
        <v/>
      </c>
      <c r="M380" s="67">
        <f>M379-$K$2*X379</f>
        <v/>
      </c>
      <c r="N380" s="67">
        <f>I380+J380*C380+K380*D380+L380*E380+F380*M380</f>
        <v/>
      </c>
      <c r="O380" s="67">
        <f>1/(1+EXP(-N380))</f>
        <v/>
      </c>
      <c r="P380" s="68">
        <f>IF(O380&gt;0.5,1,0)</f>
        <v/>
      </c>
      <c r="Q380" s="68">
        <f>O380-G380</f>
        <v/>
      </c>
      <c r="R380" s="69">
        <f>Q380^2</f>
        <v/>
      </c>
      <c r="S380">
        <f>IF(P380=G380,1,0)</f>
        <v/>
      </c>
      <c r="T380">
        <f>2*(O380-G380)*(1-O380)*O380</f>
        <v/>
      </c>
      <c r="U380">
        <f>2*(O380-G380)*(1-O380)*O380*C380</f>
        <v/>
      </c>
      <c r="V380">
        <f>2*(O380-G380)*(1-O380)*O380*D380</f>
        <v/>
      </c>
      <c r="W380">
        <f>2*(O380-G380)*(1-O380)*O380*E380</f>
        <v/>
      </c>
      <c r="X380">
        <f>2*(O380-G380)*(1-O380)*O380*F380</f>
        <v/>
      </c>
    </row>
    <row r="381" ht="14.25" customHeight="1" s="96">
      <c r="B381" s="66" t="n">
        <v>57</v>
      </c>
      <c r="C381" s="79" t="n">
        <v>5.6</v>
      </c>
      <c r="D381" s="67" t="n">
        <v>3</v>
      </c>
      <c r="E381" s="67" t="n">
        <v>4.5</v>
      </c>
      <c r="F381" s="67" t="n">
        <v>1.5</v>
      </c>
      <c r="G381" s="80" t="n">
        <v>1</v>
      </c>
      <c r="I381" s="66">
        <f>I380-$K$2*T380</f>
        <v/>
      </c>
      <c r="J381" s="67">
        <f>J380-$K$2*U380</f>
        <v/>
      </c>
      <c r="K381" s="67">
        <f>K380-$K$2*V380</f>
        <v/>
      </c>
      <c r="L381" s="67">
        <f>L380-$K$2*W380</f>
        <v/>
      </c>
      <c r="M381" s="67">
        <f>M380-$K$2*X380</f>
        <v/>
      </c>
      <c r="N381" s="67">
        <f>I381+J381*C381+K381*D381+L381*E381+F381*M381</f>
        <v/>
      </c>
      <c r="O381" s="67">
        <f>1/(1+EXP(-N381))</f>
        <v/>
      </c>
      <c r="P381" s="68">
        <f>IF(O381&gt;0.5,1,0)</f>
        <v/>
      </c>
      <c r="Q381" s="68">
        <f>O381-G381</f>
        <v/>
      </c>
      <c r="R381" s="69">
        <f>Q381^2</f>
        <v/>
      </c>
      <c r="S381">
        <f>IF(P381=G381,1,0)</f>
        <v/>
      </c>
      <c r="T381">
        <f>2*(O381-G381)*(1-O381)*O381</f>
        <v/>
      </c>
      <c r="U381">
        <f>2*(O381-G381)*(1-O381)*O381*C381</f>
        <v/>
      </c>
      <c r="V381">
        <f>2*(O381-G381)*(1-O381)*O381*D381</f>
        <v/>
      </c>
      <c r="W381">
        <f>2*(O381-G381)*(1-O381)*O381*E381</f>
        <v/>
      </c>
      <c r="X381">
        <f>2*(O381-G381)*(1-O381)*O381*F381</f>
        <v/>
      </c>
    </row>
    <row r="382" ht="14.25" customHeight="1" s="96">
      <c r="B382" s="66" t="n">
        <v>58</v>
      </c>
      <c r="C382" s="79" t="n">
        <v>5.8</v>
      </c>
      <c r="D382" s="67" t="n">
        <v>2.7</v>
      </c>
      <c r="E382" s="67" t="n">
        <v>4.1</v>
      </c>
      <c r="F382" s="67" t="n">
        <v>1</v>
      </c>
      <c r="G382" s="80" t="n">
        <v>1</v>
      </c>
      <c r="I382" s="66">
        <f>I381-$K$2*T381</f>
        <v/>
      </c>
      <c r="J382" s="67">
        <f>J381-$K$2*U381</f>
        <v/>
      </c>
      <c r="K382" s="67">
        <f>K381-$K$2*V381</f>
        <v/>
      </c>
      <c r="L382" s="67">
        <f>L381-$K$2*W381</f>
        <v/>
      </c>
      <c r="M382" s="67">
        <f>M381-$K$2*X381</f>
        <v/>
      </c>
      <c r="N382" s="67">
        <f>I382+J382*C382+K382*D382+L382*E382+F382*M382</f>
        <v/>
      </c>
      <c r="O382" s="67">
        <f>1/(1+EXP(-N382))</f>
        <v/>
      </c>
      <c r="P382" s="68">
        <f>IF(O382&gt;0.5,1,0)</f>
        <v/>
      </c>
      <c r="Q382" s="68">
        <f>O382-G382</f>
        <v/>
      </c>
      <c r="R382" s="69">
        <f>Q382^2</f>
        <v/>
      </c>
      <c r="S382">
        <f>IF(P382=G382,1,0)</f>
        <v/>
      </c>
      <c r="T382">
        <f>2*(O382-G382)*(1-O382)*O382</f>
        <v/>
      </c>
      <c r="U382">
        <f>2*(O382-G382)*(1-O382)*O382*C382</f>
        <v/>
      </c>
      <c r="V382">
        <f>2*(O382-G382)*(1-O382)*O382*D382</f>
        <v/>
      </c>
      <c r="W382">
        <f>2*(O382-G382)*(1-O382)*O382*E382</f>
        <v/>
      </c>
      <c r="X382">
        <f>2*(O382-G382)*(1-O382)*O382*F382</f>
        <v/>
      </c>
    </row>
    <row r="383" ht="14.25" customHeight="1" s="96">
      <c r="B383" s="66" t="n">
        <v>59</v>
      </c>
      <c r="C383" s="79" t="n">
        <v>6.2</v>
      </c>
      <c r="D383" s="67" t="n">
        <v>2.2</v>
      </c>
      <c r="E383" s="67" t="n">
        <v>4.5</v>
      </c>
      <c r="F383" s="67" t="n">
        <v>1.5</v>
      </c>
      <c r="G383" s="80" t="n">
        <v>1</v>
      </c>
      <c r="I383" s="66">
        <f>I382-$K$2*T382</f>
        <v/>
      </c>
      <c r="J383" s="67">
        <f>J382-$K$2*U382</f>
        <v/>
      </c>
      <c r="K383" s="67">
        <f>K382-$K$2*V382</f>
        <v/>
      </c>
      <c r="L383" s="67">
        <f>L382-$K$2*W382</f>
        <v/>
      </c>
      <c r="M383" s="67">
        <f>M382-$K$2*X382</f>
        <v/>
      </c>
      <c r="N383" s="67">
        <f>I383+J383*C383+K383*D383+L383*E383+F383*M383</f>
        <v/>
      </c>
      <c r="O383" s="67">
        <f>1/(1+EXP(-N383))</f>
        <v/>
      </c>
      <c r="P383" s="68">
        <f>IF(O383&gt;0.5,1,0)</f>
        <v/>
      </c>
      <c r="Q383" s="68">
        <f>O383-G383</f>
        <v/>
      </c>
      <c r="R383" s="69">
        <f>Q383^2</f>
        <v/>
      </c>
      <c r="S383">
        <f>IF(P383=G383,1,0)</f>
        <v/>
      </c>
      <c r="T383">
        <f>2*(O383-G383)*(1-O383)*O383</f>
        <v/>
      </c>
      <c r="U383">
        <f>2*(O383-G383)*(1-O383)*O383*C383</f>
        <v/>
      </c>
      <c r="V383">
        <f>2*(O383-G383)*(1-O383)*O383*D383</f>
        <v/>
      </c>
      <c r="W383">
        <f>2*(O383-G383)*(1-O383)*O383*E383</f>
        <v/>
      </c>
      <c r="X383">
        <f>2*(O383-G383)*(1-O383)*O383*F383</f>
        <v/>
      </c>
    </row>
    <row r="384" ht="14.25" customHeight="1" s="96">
      <c r="B384" s="81" t="n">
        <v>60</v>
      </c>
      <c r="C384" s="82" t="n">
        <v>5.6</v>
      </c>
      <c r="D384" s="83" t="n">
        <v>2.5</v>
      </c>
      <c r="E384" s="83" t="n">
        <v>3.9</v>
      </c>
      <c r="F384" s="83" t="n">
        <v>1.1</v>
      </c>
      <c r="G384" s="84" t="n">
        <v>1</v>
      </c>
      <c r="I384" s="81">
        <f>I383-$K$2*T383</f>
        <v/>
      </c>
      <c r="J384" s="83">
        <f>J383-$K$2*U383</f>
        <v/>
      </c>
      <c r="K384" s="83">
        <f>K383-$K$2*V383</f>
        <v/>
      </c>
      <c r="L384" s="83">
        <f>L383-$K$2*W383</f>
        <v/>
      </c>
      <c r="M384" s="83">
        <f>M383-$K$2*X383</f>
        <v/>
      </c>
      <c r="N384" s="83">
        <f>I384+J384*C384+K384*D384+L384*E384+F384*M384</f>
        <v/>
      </c>
      <c r="O384" s="83">
        <f>1/(1+EXP(-N384))</f>
        <v/>
      </c>
      <c r="P384" s="85">
        <f>IF(O384&gt;0.5,1,0)</f>
        <v/>
      </c>
      <c r="Q384" s="85">
        <f>O384-G384</f>
        <v/>
      </c>
      <c r="R384" s="86">
        <f>Q384^2</f>
        <v/>
      </c>
      <c r="S384">
        <f>IF(P384=G384,1,0)</f>
        <v/>
      </c>
      <c r="T384">
        <f>2*(O384-G384)*(1-O384)*O384</f>
        <v/>
      </c>
      <c r="U384">
        <f>2*(O384-G384)*(1-O384)*O384*C384</f>
        <v/>
      </c>
      <c r="V384">
        <f>2*(O384-G384)*(1-O384)*O384*D384</f>
        <v/>
      </c>
      <c r="W384">
        <f>2*(O384-G384)*(1-O384)*O384*E384</f>
        <v/>
      </c>
      <c r="X384">
        <f>2*(O384-G384)*(1-O384)*O384*F384</f>
        <v/>
      </c>
    </row>
    <row r="385" ht="14.25" customHeight="1" s="96">
      <c r="B385" s="73" t="n">
        <v>61</v>
      </c>
      <c r="C385" s="74" t="n">
        <v>5.9</v>
      </c>
      <c r="D385" s="38" t="n">
        <v>3.2</v>
      </c>
      <c r="E385" s="38" t="n">
        <v>4.8</v>
      </c>
      <c r="F385" s="38" t="n">
        <v>1.8</v>
      </c>
      <c r="G385" s="75" t="n">
        <v>1</v>
      </c>
      <c r="I385" s="33">
        <f>I384-$K$2*T384</f>
        <v/>
      </c>
      <c r="J385" s="93">
        <f>J384-$K$2*U384</f>
        <v/>
      </c>
      <c r="K385" s="93">
        <f>K384-$K$2*V384</f>
        <v/>
      </c>
      <c r="L385" s="93">
        <f>L384-$K$2*W384</f>
        <v/>
      </c>
      <c r="M385" s="93">
        <f>M384-$K$2*X384</f>
        <v/>
      </c>
      <c r="N385" s="93">
        <f>I385+J385*C385+K385*D385+L385*E385+F385*M385</f>
        <v/>
      </c>
      <c r="O385" s="93">
        <f>1/(1+EXP(-N385))</f>
        <v/>
      </c>
      <c r="P385" s="94">
        <f>IF(O385&gt;0.5,1,0)</f>
        <v/>
      </c>
      <c r="Q385" s="94">
        <f>O385-G385</f>
        <v/>
      </c>
      <c r="R385" s="95">
        <f>Q385^2</f>
        <v/>
      </c>
      <c r="S385">
        <f>IF(P385=G385,1,0)</f>
        <v/>
      </c>
      <c r="T385">
        <f>2*(O385-G385)*(1-O385)*O385</f>
        <v/>
      </c>
      <c r="U385">
        <f>2*(O385-G385)*(1-O385)*O385*C385</f>
        <v/>
      </c>
      <c r="V385">
        <f>2*(O385-G385)*(1-O385)*O385*D385</f>
        <v/>
      </c>
      <c r="W385">
        <f>2*(O385-G385)*(1-O385)*O385*E385</f>
        <v/>
      </c>
      <c r="X385">
        <f>2*(O385-G385)*(1-O385)*O385*F385</f>
        <v/>
      </c>
    </row>
    <row r="386" ht="14.25" customHeight="1" s="96">
      <c r="B386" s="44" t="n">
        <v>62</v>
      </c>
      <c r="C386" s="78" t="n">
        <v>6.1</v>
      </c>
      <c r="D386" s="46" t="n">
        <v>2.8</v>
      </c>
      <c r="E386" s="46" t="n">
        <v>4</v>
      </c>
      <c r="F386" s="46" t="n">
        <v>1.3</v>
      </c>
      <c r="G386" s="45" t="n">
        <v>1</v>
      </c>
      <c r="I386" s="44">
        <f>I385-$K$2*T385</f>
        <v/>
      </c>
      <c r="J386" s="46">
        <f>J385-$K$2*U385</f>
        <v/>
      </c>
      <c r="K386" s="46">
        <f>K385-$K$2*V385</f>
        <v/>
      </c>
      <c r="L386" s="46">
        <f>L385-$K$2*W385</f>
        <v/>
      </c>
      <c r="M386" s="46">
        <f>M385-$K$2*X385</f>
        <v/>
      </c>
      <c r="N386" s="46">
        <f>I386+J386*C386+K386*D386+L386*E386+F386*M386</f>
        <v/>
      </c>
      <c r="O386" s="46">
        <f>1/(1+EXP(-N386))</f>
        <v/>
      </c>
      <c r="P386" s="47">
        <f>IF(O386&gt;0.5,1,0)</f>
        <v/>
      </c>
      <c r="Q386" s="47">
        <f>O386-G386</f>
        <v/>
      </c>
      <c r="R386" s="48">
        <f>Q386^2</f>
        <v/>
      </c>
      <c r="S386">
        <f>IF(P386=G386,1,0)</f>
        <v/>
      </c>
      <c r="T386">
        <f>2*(O386-G386)*(1-O386)*O386</f>
        <v/>
      </c>
      <c r="U386">
        <f>2*(O386-G386)*(1-O386)*O386*C386</f>
        <v/>
      </c>
      <c r="V386">
        <f>2*(O386-G386)*(1-O386)*O386*D386</f>
        <v/>
      </c>
      <c r="W386">
        <f>2*(O386-G386)*(1-O386)*O386*E386</f>
        <v/>
      </c>
      <c r="X386">
        <f>2*(O386-G386)*(1-O386)*O386*F386</f>
        <v/>
      </c>
    </row>
    <row r="387" ht="14.25" customHeight="1" s="96">
      <c r="B387" s="44" t="n">
        <v>63</v>
      </c>
      <c r="C387" s="78" t="n">
        <v>6.3</v>
      </c>
      <c r="D387" s="46" t="n">
        <v>2.5</v>
      </c>
      <c r="E387" s="46" t="n">
        <v>4.9</v>
      </c>
      <c r="F387" s="46" t="n">
        <v>1.5</v>
      </c>
      <c r="G387" s="45" t="n">
        <v>1</v>
      </c>
      <c r="I387" s="44">
        <f>I386-$K$2*T386</f>
        <v/>
      </c>
      <c r="J387" s="46">
        <f>J386-$K$2*U386</f>
        <v/>
      </c>
      <c r="K387" s="46">
        <f>K386-$K$2*V386</f>
        <v/>
      </c>
      <c r="L387" s="46">
        <f>L386-$K$2*W386</f>
        <v/>
      </c>
      <c r="M387" s="46">
        <f>M386-$K$2*X386</f>
        <v/>
      </c>
      <c r="N387" s="46">
        <f>I387+J387*C387+K387*D387+L387*E387+F387*M387</f>
        <v/>
      </c>
      <c r="O387" s="46">
        <f>1/(1+EXP(-N387))</f>
        <v/>
      </c>
      <c r="P387" s="47">
        <f>IF(O387&gt;0.5,1,0)</f>
        <v/>
      </c>
      <c r="Q387" s="47">
        <f>O387-G387</f>
        <v/>
      </c>
      <c r="R387" s="48">
        <f>Q387^2</f>
        <v/>
      </c>
      <c r="S387">
        <f>IF(P387=G387,1,0)</f>
        <v/>
      </c>
      <c r="T387">
        <f>2*(O387-G387)*(1-O387)*O387</f>
        <v/>
      </c>
      <c r="U387">
        <f>2*(O387-G387)*(1-O387)*O387*C387</f>
        <v/>
      </c>
      <c r="V387">
        <f>2*(O387-G387)*(1-O387)*O387*D387</f>
        <v/>
      </c>
      <c r="W387">
        <f>2*(O387-G387)*(1-O387)*O387*E387</f>
        <v/>
      </c>
      <c r="X387">
        <f>2*(O387-G387)*(1-O387)*O387*F387</f>
        <v/>
      </c>
    </row>
    <row r="388" ht="14.25" customHeight="1" s="96">
      <c r="B388" s="44" t="n">
        <v>64</v>
      </c>
      <c r="C388" s="78" t="n">
        <v>6.1</v>
      </c>
      <c r="D388" s="46" t="n">
        <v>2.8</v>
      </c>
      <c r="E388" s="46" t="n">
        <v>4.7</v>
      </c>
      <c r="F388" s="46" t="n">
        <v>1.2</v>
      </c>
      <c r="G388" s="45" t="n">
        <v>1</v>
      </c>
      <c r="I388" s="44">
        <f>I387-$K$2*T387</f>
        <v/>
      </c>
      <c r="J388" s="46">
        <f>J387-$K$2*U387</f>
        <v/>
      </c>
      <c r="K388" s="46">
        <f>K387-$K$2*V387</f>
        <v/>
      </c>
      <c r="L388" s="46">
        <f>L387-$K$2*W387</f>
        <v/>
      </c>
      <c r="M388" s="46">
        <f>M387-$K$2*X387</f>
        <v/>
      </c>
      <c r="N388" s="46">
        <f>I388+J388*C388+K388*D388+L388*E388+F388*M388</f>
        <v/>
      </c>
      <c r="O388" s="46">
        <f>1/(1+EXP(-N388))</f>
        <v/>
      </c>
      <c r="P388" s="47">
        <f>IF(O388&gt;0.5,1,0)</f>
        <v/>
      </c>
      <c r="Q388" s="47">
        <f>O388-G388</f>
        <v/>
      </c>
      <c r="R388" s="48">
        <f>Q388^2</f>
        <v/>
      </c>
      <c r="S388">
        <f>IF(P388=G388,1,0)</f>
        <v/>
      </c>
      <c r="T388">
        <f>2*(O388-G388)*(1-O388)*O388</f>
        <v/>
      </c>
      <c r="U388">
        <f>2*(O388-G388)*(1-O388)*O388*C388</f>
        <v/>
      </c>
      <c r="V388">
        <f>2*(O388-G388)*(1-O388)*O388*D388</f>
        <v/>
      </c>
      <c r="W388">
        <f>2*(O388-G388)*(1-O388)*O388*E388</f>
        <v/>
      </c>
      <c r="X388">
        <f>2*(O388-G388)*(1-O388)*O388*F388</f>
        <v/>
      </c>
    </row>
    <row r="389" ht="14.25" customHeight="1" s="96">
      <c r="B389" s="44" t="n">
        <v>65</v>
      </c>
      <c r="C389" s="78" t="n">
        <v>6.4</v>
      </c>
      <c r="D389" s="46" t="n">
        <v>2.9</v>
      </c>
      <c r="E389" s="46" t="n">
        <v>4.3</v>
      </c>
      <c r="F389" s="46" t="n">
        <v>1.3</v>
      </c>
      <c r="G389" s="45" t="n">
        <v>1</v>
      </c>
      <c r="I389" s="44">
        <f>I388-$K$2*T388</f>
        <v/>
      </c>
      <c r="J389" s="46">
        <f>J388-$K$2*U388</f>
        <v/>
      </c>
      <c r="K389" s="46">
        <f>K388-$K$2*V388</f>
        <v/>
      </c>
      <c r="L389" s="46">
        <f>L388-$K$2*W388</f>
        <v/>
      </c>
      <c r="M389" s="46">
        <f>M388-$K$2*X388</f>
        <v/>
      </c>
      <c r="N389" s="46">
        <f>I389+J389*C389+K389*D389+L389*E389+F389*M389</f>
        <v/>
      </c>
      <c r="O389" s="46">
        <f>1/(1+EXP(-N389))</f>
        <v/>
      </c>
      <c r="P389" s="47">
        <f>IF(O389&gt;0.5,1,0)</f>
        <v/>
      </c>
      <c r="Q389" s="47">
        <f>O389-G389</f>
        <v/>
      </c>
      <c r="R389" s="48">
        <f>Q389^2</f>
        <v/>
      </c>
      <c r="S389">
        <f>IF(P389=G389,1,0)</f>
        <v/>
      </c>
      <c r="T389">
        <f>2*(O389-G389)*(1-O389)*O389</f>
        <v/>
      </c>
      <c r="U389">
        <f>2*(O389-G389)*(1-O389)*O389*C389</f>
        <v/>
      </c>
      <c r="V389">
        <f>2*(O389-G389)*(1-O389)*O389*D389</f>
        <v/>
      </c>
      <c r="W389">
        <f>2*(O389-G389)*(1-O389)*O389*E389</f>
        <v/>
      </c>
      <c r="X389">
        <f>2*(O389-G389)*(1-O389)*O389*F389</f>
        <v/>
      </c>
    </row>
    <row r="390" ht="14.25" customHeight="1" s="96">
      <c r="B390" s="44" t="n">
        <v>66</v>
      </c>
      <c r="C390" s="78" t="n">
        <v>6.6</v>
      </c>
      <c r="D390" s="46" t="n">
        <v>3</v>
      </c>
      <c r="E390" s="46" t="n">
        <v>4.4</v>
      </c>
      <c r="F390" s="46" t="n">
        <v>1.4</v>
      </c>
      <c r="G390" s="45" t="n">
        <v>1</v>
      </c>
      <c r="I390" s="44">
        <f>I389-$K$2*T389</f>
        <v/>
      </c>
      <c r="J390" s="46">
        <f>J389-$K$2*U389</f>
        <v/>
      </c>
      <c r="K390" s="46">
        <f>K389-$K$2*V389</f>
        <v/>
      </c>
      <c r="L390" s="46">
        <f>L389-$K$2*W389</f>
        <v/>
      </c>
      <c r="M390" s="46">
        <f>M389-$K$2*X389</f>
        <v/>
      </c>
      <c r="N390" s="46">
        <f>I390+J390*C390+K390*D390+L390*E390+F390*M390</f>
        <v/>
      </c>
      <c r="O390" s="46">
        <f>1/(1+EXP(-N390))</f>
        <v/>
      </c>
      <c r="P390" s="47">
        <f>IF(O390&gt;0.5,1,0)</f>
        <v/>
      </c>
      <c r="Q390" s="47">
        <f>O390-G390</f>
        <v/>
      </c>
      <c r="R390" s="48">
        <f>Q390^2</f>
        <v/>
      </c>
      <c r="S390">
        <f>IF(P390=G390,1,0)</f>
        <v/>
      </c>
      <c r="T390">
        <f>2*(O390-G390)*(1-O390)*O390</f>
        <v/>
      </c>
      <c r="U390">
        <f>2*(O390-G390)*(1-O390)*O390*C390</f>
        <v/>
      </c>
      <c r="V390">
        <f>2*(O390-G390)*(1-O390)*O390*D390</f>
        <v/>
      </c>
      <c r="W390">
        <f>2*(O390-G390)*(1-O390)*O390*E390</f>
        <v/>
      </c>
      <c r="X390">
        <f>2*(O390-G390)*(1-O390)*O390*F390</f>
        <v/>
      </c>
    </row>
    <row r="391" ht="14.25" customHeight="1" s="96">
      <c r="B391" s="44" t="n">
        <v>67</v>
      </c>
      <c r="C391" s="78" t="n">
        <v>6.8</v>
      </c>
      <c r="D391" s="46" t="n">
        <v>2.8</v>
      </c>
      <c r="E391" s="46" t="n">
        <v>4.8</v>
      </c>
      <c r="F391" s="46" t="n">
        <v>1.4</v>
      </c>
      <c r="G391" s="45" t="n">
        <v>1</v>
      </c>
      <c r="I391" s="44">
        <f>I390-$K$2*T390</f>
        <v/>
      </c>
      <c r="J391" s="46">
        <f>J390-$K$2*U390</f>
        <v/>
      </c>
      <c r="K391" s="46">
        <f>K390-$K$2*V390</f>
        <v/>
      </c>
      <c r="L391" s="46">
        <f>L390-$K$2*W390</f>
        <v/>
      </c>
      <c r="M391" s="46">
        <f>M390-$K$2*X390</f>
        <v/>
      </c>
      <c r="N391" s="46">
        <f>I391+J391*C391+K391*D391+L391*E391+F391*M391</f>
        <v/>
      </c>
      <c r="O391" s="46">
        <f>1/(1+EXP(-N391))</f>
        <v/>
      </c>
      <c r="P391" s="47">
        <f>IF(O391&gt;0.5,1,0)</f>
        <v/>
      </c>
      <c r="Q391" s="47">
        <f>O391-G391</f>
        <v/>
      </c>
      <c r="R391" s="48">
        <f>Q391^2</f>
        <v/>
      </c>
      <c r="S391">
        <f>IF(P391=G391,1,0)</f>
        <v/>
      </c>
      <c r="T391">
        <f>2*(O391-G391)*(1-O391)*O391</f>
        <v/>
      </c>
      <c r="U391">
        <f>2*(O391-G391)*(1-O391)*O391*C391</f>
        <v/>
      </c>
      <c r="V391">
        <f>2*(O391-G391)*(1-O391)*O391*D391</f>
        <v/>
      </c>
      <c r="W391">
        <f>2*(O391-G391)*(1-O391)*O391*E391</f>
        <v/>
      </c>
      <c r="X391">
        <f>2*(O391-G391)*(1-O391)*O391*F391</f>
        <v/>
      </c>
    </row>
    <row r="392" ht="14.25" customHeight="1" s="96">
      <c r="B392" s="44" t="n">
        <v>68</v>
      </c>
      <c r="C392" s="78" t="n">
        <v>6.7</v>
      </c>
      <c r="D392" s="46" t="n">
        <v>3</v>
      </c>
      <c r="E392" s="46" t="n">
        <v>5</v>
      </c>
      <c r="F392" s="46" t="n">
        <v>1.7</v>
      </c>
      <c r="G392" s="45" t="n">
        <v>1</v>
      </c>
      <c r="I392" s="44">
        <f>I391-$K$2*T391</f>
        <v/>
      </c>
      <c r="J392" s="46">
        <f>J391-$K$2*U391</f>
        <v/>
      </c>
      <c r="K392" s="46">
        <f>K391-$K$2*V391</f>
        <v/>
      </c>
      <c r="L392" s="46">
        <f>L391-$K$2*W391</f>
        <v/>
      </c>
      <c r="M392" s="46">
        <f>M391-$K$2*X391</f>
        <v/>
      </c>
      <c r="N392" s="46">
        <f>I392+J392*C392+K392*D392+L392*E392+F392*M392</f>
        <v/>
      </c>
      <c r="O392" s="46">
        <f>1/(1+EXP(-N392))</f>
        <v/>
      </c>
      <c r="P392" s="47">
        <f>IF(O392&gt;0.5,1,0)</f>
        <v/>
      </c>
      <c r="Q392" s="47">
        <f>O392-G392</f>
        <v/>
      </c>
      <c r="R392" s="48">
        <f>Q392^2</f>
        <v/>
      </c>
      <c r="S392">
        <f>IF(P392=G392,1,0)</f>
        <v/>
      </c>
      <c r="T392">
        <f>2*(O392-G392)*(1-O392)*O392</f>
        <v/>
      </c>
      <c r="U392">
        <f>2*(O392-G392)*(1-O392)*O392*C392</f>
        <v/>
      </c>
      <c r="V392">
        <f>2*(O392-G392)*(1-O392)*O392*D392</f>
        <v/>
      </c>
      <c r="W392">
        <f>2*(O392-G392)*(1-O392)*O392*E392</f>
        <v/>
      </c>
      <c r="X392">
        <f>2*(O392-G392)*(1-O392)*O392*F392</f>
        <v/>
      </c>
    </row>
    <row r="393" ht="14.25" customHeight="1" s="96">
      <c r="B393" s="44" t="n">
        <v>69</v>
      </c>
      <c r="C393" s="78" t="n">
        <v>6</v>
      </c>
      <c r="D393" s="46" t="n">
        <v>2.9</v>
      </c>
      <c r="E393" s="46" t="n">
        <v>4.5</v>
      </c>
      <c r="F393" s="46" t="n">
        <v>1.5</v>
      </c>
      <c r="G393" s="45" t="n">
        <v>1</v>
      </c>
      <c r="I393" s="44">
        <f>I392-$K$2*T392</f>
        <v/>
      </c>
      <c r="J393" s="46">
        <f>J392-$K$2*U392</f>
        <v/>
      </c>
      <c r="K393" s="46">
        <f>K392-$K$2*V392</f>
        <v/>
      </c>
      <c r="L393" s="46">
        <f>L392-$K$2*W392</f>
        <v/>
      </c>
      <c r="M393" s="46">
        <f>M392-$K$2*X392</f>
        <v/>
      </c>
      <c r="N393" s="46">
        <f>I393+J393*C393+K393*D393+L393*E393+F393*M393</f>
        <v/>
      </c>
      <c r="O393" s="46">
        <f>1/(1+EXP(-N393))</f>
        <v/>
      </c>
      <c r="P393" s="47">
        <f>IF(O393&gt;0.5,1,0)</f>
        <v/>
      </c>
      <c r="Q393" s="47">
        <f>O393-G393</f>
        <v/>
      </c>
      <c r="R393" s="48">
        <f>Q393^2</f>
        <v/>
      </c>
      <c r="S393">
        <f>IF(P393=G393,1,0)</f>
        <v/>
      </c>
      <c r="T393">
        <f>2*(O393-G393)*(1-O393)*O393</f>
        <v/>
      </c>
      <c r="U393">
        <f>2*(O393-G393)*(1-O393)*O393*C393</f>
        <v/>
      </c>
      <c r="V393">
        <f>2*(O393-G393)*(1-O393)*O393*D393</f>
        <v/>
      </c>
      <c r="W393">
        <f>2*(O393-G393)*(1-O393)*O393*E393</f>
        <v/>
      </c>
      <c r="X393">
        <f>2*(O393-G393)*(1-O393)*O393*F393</f>
        <v/>
      </c>
    </row>
    <row r="394" ht="14.25" customHeight="1" s="96">
      <c r="B394" s="44" t="n">
        <v>70</v>
      </c>
      <c r="C394" s="78" t="n">
        <v>5.7</v>
      </c>
      <c r="D394" s="46" t="n">
        <v>2.6</v>
      </c>
      <c r="E394" s="46" t="n">
        <v>3.5</v>
      </c>
      <c r="F394" s="46" t="n">
        <v>1</v>
      </c>
      <c r="G394" s="45" t="n">
        <v>1</v>
      </c>
      <c r="I394" s="44">
        <f>I393-$K$2*T393</f>
        <v/>
      </c>
      <c r="J394" s="46">
        <f>J393-$K$2*U393</f>
        <v/>
      </c>
      <c r="K394" s="46">
        <f>K393-$K$2*V393</f>
        <v/>
      </c>
      <c r="L394" s="46">
        <f>L393-$K$2*W393</f>
        <v/>
      </c>
      <c r="M394" s="46">
        <f>M393-$K$2*X393</f>
        <v/>
      </c>
      <c r="N394" s="46">
        <f>I394+J394*C394+K394*D394+L394*E394+F394*M394</f>
        <v/>
      </c>
      <c r="O394" s="46">
        <f>1/(1+EXP(-N394))</f>
        <v/>
      </c>
      <c r="P394" s="47">
        <f>IF(O394&gt;0.5,1,0)</f>
        <v/>
      </c>
      <c r="Q394" s="47">
        <f>O394-G394</f>
        <v/>
      </c>
      <c r="R394" s="48">
        <f>Q394^2</f>
        <v/>
      </c>
      <c r="S394">
        <f>IF(P394=G394,1,0)</f>
        <v/>
      </c>
      <c r="T394">
        <f>2*(O394-G394)*(1-O394)*O394</f>
        <v/>
      </c>
      <c r="U394">
        <f>2*(O394-G394)*(1-O394)*O394*C394</f>
        <v/>
      </c>
      <c r="V394">
        <f>2*(O394-G394)*(1-O394)*O394*D394</f>
        <v/>
      </c>
      <c r="W394">
        <f>2*(O394-G394)*(1-O394)*O394*E394</f>
        <v/>
      </c>
      <c r="X394">
        <f>2*(O394-G394)*(1-O394)*O394*F394</f>
        <v/>
      </c>
    </row>
    <row r="395" ht="14.25" customHeight="1" s="96">
      <c r="B395" s="44" t="n">
        <v>71</v>
      </c>
      <c r="C395" s="78" t="n">
        <v>5.5</v>
      </c>
      <c r="D395" s="46" t="n">
        <v>2.4</v>
      </c>
      <c r="E395" s="46" t="n">
        <v>3.8</v>
      </c>
      <c r="F395" s="46" t="n">
        <v>1.1</v>
      </c>
      <c r="G395" s="45" t="n">
        <v>1</v>
      </c>
      <c r="I395" s="44">
        <f>I394-$K$2*T394</f>
        <v/>
      </c>
      <c r="J395" s="46">
        <f>J394-$K$2*U394</f>
        <v/>
      </c>
      <c r="K395" s="46">
        <f>K394-$K$2*V394</f>
        <v/>
      </c>
      <c r="L395" s="46">
        <f>L394-$K$2*W394</f>
        <v/>
      </c>
      <c r="M395" s="46">
        <f>M394-$K$2*X394</f>
        <v/>
      </c>
      <c r="N395" s="46">
        <f>I395+J395*C395+K395*D395+L395*E395+F395*M395</f>
        <v/>
      </c>
      <c r="O395" s="46">
        <f>1/(1+EXP(-N395))</f>
        <v/>
      </c>
      <c r="P395" s="47">
        <f>IF(O395&gt;0.5,1,0)</f>
        <v/>
      </c>
      <c r="Q395" s="47">
        <f>O395-G395</f>
        <v/>
      </c>
      <c r="R395" s="48">
        <f>Q395^2</f>
        <v/>
      </c>
      <c r="S395">
        <f>IF(P395=G395,1,0)</f>
        <v/>
      </c>
      <c r="T395">
        <f>2*(O395-G395)*(1-O395)*O395</f>
        <v/>
      </c>
      <c r="U395">
        <f>2*(O395-G395)*(1-O395)*O395*C395</f>
        <v/>
      </c>
      <c r="V395">
        <f>2*(O395-G395)*(1-O395)*O395*D395</f>
        <v/>
      </c>
      <c r="W395">
        <f>2*(O395-G395)*(1-O395)*O395*E395</f>
        <v/>
      </c>
      <c r="X395">
        <f>2*(O395-G395)*(1-O395)*O395*F395</f>
        <v/>
      </c>
    </row>
    <row r="396" ht="14.25" customHeight="1" s="96">
      <c r="B396" s="44" t="n">
        <v>72</v>
      </c>
      <c r="C396" s="78" t="n">
        <v>5.5</v>
      </c>
      <c r="D396" s="46" t="n">
        <v>2.4</v>
      </c>
      <c r="E396" s="46" t="n">
        <v>3.7</v>
      </c>
      <c r="F396" s="46" t="n">
        <v>1</v>
      </c>
      <c r="G396" s="45" t="n">
        <v>1</v>
      </c>
      <c r="I396" s="44">
        <f>I395-$K$2*T395</f>
        <v/>
      </c>
      <c r="J396" s="46">
        <f>J395-$K$2*U395</f>
        <v/>
      </c>
      <c r="K396" s="46">
        <f>K395-$K$2*V395</f>
        <v/>
      </c>
      <c r="L396" s="46">
        <f>L395-$K$2*W395</f>
        <v/>
      </c>
      <c r="M396" s="46">
        <f>M395-$K$2*X395</f>
        <v/>
      </c>
      <c r="N396" s="46">
        <f>I396+J396*C396+K396*D396+L396*E396+F396*M396</f>
        <v/>
      </c>
      <c r="O396" s="46">
        <f>1/(1+EXP(-N396))</f>
        <v/>
      </c>
      <c r="P396" s="47">
        <f>IF(O396&gt;0.5,1,0)</f>
        <v/>
      </c>
      <c r="Q396" s="47">
        <f>O396-G396</f>
        <v/>
      </c>
      <c r="R396" s="48">
        <f>Q396^2</f>
        <v/>
      </c>
      <c r="S396">
        <f>IF(P396=G396,1,0)</f>
        <v/>
      </c>
      <c r="T396">
        <f>2*(O396-G396)*(1-O396)*O396</f>
        <v/>
      </c>
      <c r="U396">
        <f>2*(O396-G396)*(1-O396)*O396*C396</f>
        <v/>
      </c>
      <c r="V396">
        <f>2*(O396-G396)*(1-O396)*O396*D396</f>
        <v/>
      </c>
      <c r="W396">
        <f>2*(O396-G396)*(1-O396)*O396*E396</f>
        <v/>
      </c>
      <c r="X396">
        <f>2*(O396-G396)*(1-O396)*O396*F396</f>
        <v/>
      </c>
    </row>
    <row r="397" ht="14.25" customHeight="1" s="96">
      <c r="B397" s="44" t="n">
        <v>73</v>
      </c>
      <c r="C397" s="78" t="n">
        <v>5.8</v>
      </c>
      <c r="D397" s="46" t="n">
        <v>2.7</v>
      </c>
      <c r="E397" s="46" t="n">
        <v>3.9</v>
      </c>
      <c r="F397" s="46" t="n">
        <v>1.2</v>
      </c>
      <c r="G397" s="45" t="n">
        <v>1</v>
      </c>
      <c r="I397" s="44">
        <f>I396-$K$2*T396</f>
        <v/>
      </c>
      <c r="J397" s="46">
        <f>J396-$K$2*U396</f>
        <v/>
      </c>
      <c r="K397" s="46">
        <f>K396-$K$2*V396</f>
        <v/>
      </c>
      <c r="L397" s="46">
        <f>L396-$K$2*W396</f>
        <v/>
      </c>
      <c r="M397" s="46">
        <f>M396-$K$2*X396</f>
        <v/>
      </c>
      <c r="N397" s="46">
        <f>I397+J397*C397+K397*D397+L397*E397+F397*M397</f>
        <v/>
      </c>
      <c r="O397" s="46">
        <f>1/(1+EXP(-N397))</f>
        <v/>
      </c>
      <c r="P397" s="47">
        <f>IF(O397&gt;0.5,1,0)</f>
        <v/>
      </c>
      <c r="Q397" s="47">
        <f>O397-G397</f>
        <v/>
      </c>
      <c r="R397" s="48">
        <f>Q397^2</f>
        <v/>
      </c>
      <c r="S397">
        <f>IF(P397=G397,1,0)</f>
        <v/>
      </c>
      <c r="T397">
        <f>2*(O397-G397)*(1-O397)*O397</f>
        <v/>
      </c>
      <c r="U397">
        <f>2*(O397-G397)*(1-O397)*O397*C397</f>
        <v/>
      </c>
      <c r="V397">
        <f>2*(O397-G397)*(1-O397)*O397*D397</f>
        <v/>
      </c>
      <c r="W397">
        <f>2*(O397-G397)*(1-O397)*O397*E397</f>
        <v/>
      </c>
      <c r="X397">
        <f>2*(O397-G397)*(1-O397)*O397*F397</f>
        <v/>
      </c>
    </row>
    <row r="398" ht="14.25" customHeight="1" s="96">
      <c r="B398" s="44" t="n">
        <v>74</v>
      </c>
      <c r="C398" s="78" t="n">
        <v>6</v>
      </c>
      <c r="D398" s="46" t="n">
        <v>2.7</v>
      </c>
      <c r="E398" s="46" t="n">
        <v>5.1</v>
      </c>
      <c r="F398" s="46" t="n">
        <v>1.6</v>
      </c>
      <c r="G398" s="45" t="n">
        <v>1</v>
      </c>
      <c r="I398" s="44">
        <f>I397-$K$2*T397</f>
        <v/>
      </c>
      <c r="J398" s="46">
        <f>J397-$K$2*U397</f>
        <v/>
      </c>
      <c r="K398" s="46">
        <f>K397-$K$2*V397</f>
        <v/>
      </c>
      <c r="L398" s="46">
        <f>L397-$K$2*W397</f>
        <v/>
      </c>
      <c r="M398" s="46">
        <f>M397-$K$2*X397</f>
        <v/>
      </c>
      <c r="N398" s="46">
        <f>I398+J398*C398+K398*D398+L398*E398+F398*M398</f>
        <v/>
      </c>
      <c r="O398" s="46">
        <f>1/(1+EXP(-N398))</f>
        <v/>
      </c>
      <c r="P398" s="47">
        <f>IF(O398&gt;0.5,1,0)</f>
        <v/>
      </c>
      <c r="Q398" s="47">
        <f>O398-G398</f>
        <v/>
      </c>
      <c r="R398" s="48">
        <f>Q398^2</f>
        <v/>
      </c>
      <c r="S398">
        <f>IF(P398=G398,1,0)</f>
        <v/>
      </c>
      <c r="T398">
        <f>2*(O398-G398)*(1-O398)*O398</f>
        <v/>
      </c>
      <c r="U398">
        <f>2*(O398-G398)*(1-O398)*O398*C398</f>
        <v/>
      </c>
      <c r="V398">
        <f>2*(O398-G398)*(1-O398)*O398*D398</f>
        <v/>
      </c>
      <c r="W398">
        <f>2*(O398-G398)*(1-O398)*O398*E398</f>
        <v/>
      </c>
      <c r="X398">
        <f>2*(O398-G398)*(1-O398)*O398*F398</f>
        <v/>
      </c>
    </row>
    <row r="399" ht="14.25" customHeight="1" s="96">
      <c r="B399" s="44" t="n">
        <v>75</v>
      </c>
      <c r="C399" s="78" t="n">
        <v>5.4</v>
      </c>
      <c r="D399" s="46" t="n">
        <v>3</v>
      </c>
      <c r="E399" s="46" t="n">
        <v>4.5</v>
      </c>
      <c r="F399" s="46" t="n">
        <v>1.5</v>
      </c>
      <c r="G399" s="45" t="n">
        <v>1</v>
      </c>
      <c r="I399" s="44">
        <f>I398-$K$2*T398</f>
        <v/>
      </c>
      <c r="J399" s="46">
        <f>J398-$K$2*U398</f>
        <v/>
      </c>
      <c r="K399" s="46">
        <f>K398-$K$2*V398</f>
        <v/>
      </c>
      <c r="L399" s="46">
        <f>L398-$K$2*W398</f>
        <v/>
      </c>
      <c r="M399" s="46">
        <f>M398-$K$2*X398</f>
        <v/>
      </c>
      <c r="N399" s="46">
        <f>I399+J399*C399+K399*D399+L399*E399+F399*M399</f>
        <v/>
      </c>
      <c r="O399" s="46">
        <f>1/(1+EXP(-N399))</f>
        <v/>
      </c>
      <c r="P399" s="47">
        <f>IF(O399&gt;0.5,1,0)</f>
        <v/>
      </c>
      <c r="Q399" s="47">
        <f>O399-G399</f>
        <v/>
      </c>
      <c r="R399" s="48">
        <f>Q399^2</f>
        <v/>
      </c>
      <c r="S399">
        <f>IF(P399=G399,1,0)</f>
        <v/>
      </c>
      <c r="T399">
        <f>2*(O399-G399)*(1-O399)*O399</f>
        <v/>
      </c>
      <c r="U399">
        <f>2*(O399-G399)*(1-O399)*O399*C399</f>
        <v/>
      </c>
      <c r="V399">
        <f>2*(O399-G399)*(1-O399)*O399*D399</f>
        <v/>
      </c>
      <c r="W399">
        <f>2*(O399-G399)*(1-O399)*O399*E399</f>
        <v/>
      </c>
      <c r="X399">
        <f>2*(O399-G399)*(1-O399)*O399*F399</f>
        <v/>
      </c>
    </row>
    <row r="400" ht="14.25" customHeight="1" s="96">
      <c r="B400" s="44" t="n">
        <v>76</v>
      </c>
      <c r="C400" s="78" t="n">
        <v>6</v>
      </c>
      <c r="D400" s="46" t="n">
        <v>3.4</v>
      </c>
      <c r="E400" s="46" t="n">
        <v>4.5</v>
      </c>
      <c r="F400" s="46" t="n">
        <v>1.6</v>
      </c>
      <c r="G400" s="45" t="n">
        <v>1</v>
      </c>
      <c r="I400" s="44">
        <f>I399-$K$2*T399</f>
        <v/>
      </c>
      <c r="J400" s="46">
        <f>J399-$K$2*U399</f>
        <v/>
      </c>
      <c r="K400" s="46">
        <f>K399-$K$2*V399</f>
        <v/>
      </c>
      <c r="L400" s="46">
        <f>L399-$K$2*W399</f>
        <v/>
      </c>
      <c r="M400" s="46">
        <f>M399-$K$2*X399</f>
        <v/>
      </c>
      <c r="N400" s="46">
        <f>I400+J400*C400+K400*D400+L400*E400+F400*M400</f>
        <v/>
      </c>
      <c r="O400" s="46">
        <f>1/(1+EXP(-N400))</f>
        <v/>
      </c>
      <c r="P400" s="47">
        <f>IF(O400&gt;0.5,1,0)</f>
        <v/>
      </c>
      <c r="Q400" s="47">
        <f>O400-G400</f>
        <v/>
      </c>
      <c r="R400" s="48">
        <f>Q400^2</f>
        <v/>
      </c>
      <c r="S400">
        <f>IF(P400=G400,1,0)</f>
        <v/>
      </c>
      <c r="T400">
        <f>2*(O400-G400)*(1-O400)*O400</f>
        <v/>
      </c>
      <c r="U400">
        <f>2*(O400-G400)*(1-O400)*O400*C400</f>
        <v/>
      </c>
      <c r="V400">
        <f>2*(O400-G400)*(1-O400)*O400*D400</f>
        <v/>
      </c>
      <c r="W400">
        <f>2*(O400-G400)*(1-O400)*O400*E400</f>
        <v/>
      </c>
      <c r="X400">
        <f>2*(O400-G400)*(1-O400)*O400*F400</f>
        <v/>
      </c>
    </row>
    <row r="401" ht="14.25" customHeight="1" s="96">
      <c r="B401" s="44" t="n">
        <v>77</v>
      </c>
      <c r="C401" s="78" t="n">
        <v>6.7</v>
      </c>
      <c r="D401" s="46" t="n">
        <v>3.1</v>
      </c>
      <c r="E401" s="46" t="n">
        <v>4.7</v>
      </c>
      <c r="F401" s="46" t="n">
        <v>1.5</v>
      </c>
      <c r="G401" s="45" t="n">
        <v>1</v>
      </c>
      <c r="I401" s="44">
        <f>I400-$K$2*T400</f>
        <v/>
      </c>
      <c r="J401" s="46">
        <f>J400-$K$2*U400</f>
        <v/>
      </c>
      <c r="K401" s="46">
        <f>K400-$K$2*V400</f>
        <v/>
      </c>
      <c r="L401" s="46">
        <f>L400-$K$2*W400</f>
        <v/>
      </c>
      <c r="M401" s="46">
        <f>M400-$K$2*X400</f>
        <v/>
      </c>
      <c r="N401" s="46">
        <f>I401+J401*C401+K401*D401+L401*E401+F401*M401</f>
        <v/>
      </c>
      <c r="O401" s="46">
        <f>1/(1+EXP(-N401))</f>
        <v/>
      </c>
      <c r="P401" s="47">
        <f>IF(O401&gt;0.5,1,0)</f>
        <v/>
      </c>
      <c r="Q401" s="47">
        <f>O401-G401</f>
        <v/>
      </c>
      <c r="R401" s="48">
        <f>Q401^2</f>
        <v/>
      </c>
      <c r="S401">
        <f>IF(P401=G401,1,0)</f>
        <v/>
      </c>
      <c r="T401">
        <f>2*(O401-G401)*(1-O401)*O401</f>
        <v/>
      </c>
      <c r="U401">
        <f>2*(O401-G401)*(1-O401)*O401*C401</f>
        <v/>
      </c>
      <c r="V401">
        <f>2*(O401-G401)*(1-O401)*O401*D401</f>
        <v/>
      </c>
      <c r="W401">
        <f>2*(O401-G401)*(1-O401)*O401*E401</f>
        <v/>
      </c>
      <c r="X401">
        <f>2*(O401-G401)*(1-O401)*O401*F401</f>
        <v/>
      </c>
    </row>
    <row r="402" ht="14.25" customHeight="1" s="96">
      <c r="B402" s="44" t="n">
        <v>78</v>
      </c>
      <c r="C402" s="78" t="n">
        <v>6.3</v>
      </c>
      <c r="D402" s="46" t="n">
        <v>2.3</v>
      </c>
      <c r="E402" s="46" t="n">
        <v>4.4</v>
      </c>
      <c r="F402" s="46" t="n">
        <v>1.3</v>
      </c>
      <c r="G402" s="45" t="n">
        <v>1</v>
      </c>
      <c r="I402" s="44">
        <f>I401-$K$2*T401</f>
        <v/>
      </c>
      <c r="J402" s="46">
        <f>J401-$K$2*U401</f>
        <v/>
      </c>
      <c r="K402" s="46">
        <f>K401-$K$2*V401</f>
        <v/>
      </c>
      <c r="L402" s="46">
        <f>L401-$K$2*W401</f>
        <v/>
      </c>
      <c r="M402" s="46">
        <f>M401-$K$2*X401</f>
        <v/>
      </c>
      <c r="N402" s="46">
        <f>I402+J402*C402+K402*D402+L402*E402+F402*M402</f>
        <v/>
      </c>
      <c r="O402" s="46">
        <f>1/(1+EXP(-N402))</f>
        <v/>
      </c>
      <c r="P402" s="47">
        <f>IF(O402&gt;0.5,1,0)</f>
        <v/>
      </c>
      <c r="Q402" s="47">
        <f>O402-G402</f>
        <v/>
      </c>
      <c r="R402" s="48">
        <f>Q402^2</f>
        <v/>
      </c>
      <c r="S402">
        <f>IF(P402=G402,1,0)</f>
        <v/>
      </c>
      <c r="T402">
        <f>2*(O402-G402)*(1-O402)*O402</f>
        <v/>
      </c>
      <c r="U402">
        <f>2*(O402-G402)*(1-O402)*O402*C402</f>
        <v/>
      </c>
      <c r="V402">
        <f>2*(O402-G402)*(1-O402)*O402*D402</f>
        <v/>
      </c>
      <c r="W402">
        <f>2*(O402-G402)*(1-O402)*O402*E402</f>
        <v/>
      </c>
      <c r="X402">
        <f>2*(O402-G402)*(1-O402)*O402*F402</f>
        <v/>
      </c>
    </row>
    <row r="403" ht="14.25" customHeight="1" s="96">
      <c r="B403" s="44" t="n">
        <v>79</v>
      </c>
      <c r="C403" s="78" t="n">
        <v>5.6</v>
      </c>
      <c r="D403" s="46" t="n">
        <v>3</v>
      </c>
      <c r="E403" s="46" t="n">
        <v>4.1</v>
      </c>
      <c r="F403" s="46" t="n">
        <v>1.3</v>
      </c>
      <c r="G403" s="45" t="n">
        <v>1</v>
      </c>
      <c r="I403" s="44">
        <f>I402-$K$2*T402</f>
        <v/>
      </c>
      <c r="J403" s="46">
        <f>J402-$K$2*U402</f>
        <v/>
      </c>
      <c r="K403" s="46">
        <f>K402-$K$2*V402</f>
        <v/>
      </c>
      <c r="L403" s="46">
        <f>L402-$K$2*W402</f>
        <v/>
      </c>
      <c r="M403" s="46">
        <f>M402-$K$2*X402</f>
        <v/>
      </c>
      <c r="N403" s="46">
        <f>I403+J403*C403+K403*D403+L403*E403+F403*M403</f>
        <v/>
      </c>
      <c r="O403" s="46">
        <f>1/(1+EXP(-N403))</f>
        <v/>
      </c>
      <c r="P403" s="47">
        <f>IF(O403&gt;0.5,1,0)</f>
        <v/>
      </c>
      <c r="Q403" s="47">
        <f>O403-G403</f>
        <v/>
      </c>
      <c r="R403" s="48">
        <f>Q403^2</f>
        <v/>
      </c>
      <c r="S403">
        <f>IF(P403=G403,1,0)</f>
        <v/>
      </c>
      <c r="T403">
        <f>2*(O403-G403)*(1-O403)*O403</f>
        <v/>
      </c>
      <c r="U403">
        <f>2*(O403-G403)*(1-O403)*O403*C403</f>
        <v/>
      </c>
      <c r="V403">
        <f>2*(O403-G403)*(1-O403)*O403*D403</f>
        <v/>
      </c>
      <c r="W403">
        <f>2*(O403-G403)*(1-O403)*O403*E403</f>
        <v/>
      </c>
      <c r="X403">
        <f>2*(O403-G403)*(1-O403)*O403*F403</f>
        <v/>
      </c>
    </row>
    <row r="404" ht="14.25" customHeight="1" s="96">
      <c r="B404" s="44" t="n">
        <v>80</v>
      </c>
      <c r="C404" s="78" t="n">
        <v>5.5</v>
      </c>
      <c r="D404" s="46" t="n">
        <v>2.5</v>
      </c>
      <c r="E404" s="46" t="n">
        <v>4</v>
      </c>
      <c r="F404" s="46" t="n">
        <v>1.3</v>
      </c>
      <c r="G404" s="45" t="n">
        <v>1</v>
      </c>
      <c r="I404" s="44">
        <f>I403-$K$2*T403</f>
        <v/>
      </c>
      <c r="J404" s="46">
        <f>J403-$K$2*U403</f>
        <v/>
      </c>
      <c r="K404" s="46">
        <f>K403-$K$2*V403</f>
        <v/>
      </c>
      <c r="L404" s="46">
        <f>L403-$K$2*W403</f>
        <v/>
      </c>
      <c r="M404" s="46">
        <f>M403-$K$2*X403</f>
        <v/>
      </c>
      <c r="N404" s="46">
        <f>I404+J404*C404+K404*D404+L404*E404+F404*M404</f>
        <v/>
      </c>
      <c r="O404" s="46">
        <f>1/(1+EXP(-N404))</f>
        <v/>
      </c>
      <c r="P404" s="47">
        <f>IF(O404&gt;0.5,1,0)</f>
        <v/>
      </c>
      <c r="Q404" s="47">
        <f>O404-G404</f>
        <v/>
      </c>
      <c r="R404" s="48">
        <f>Q404^2</f>
        <v/>
      </c>
      <c r="S404">
        <f>IF(P404=G404,1,0)</f>
        <v/>
      </c>
      <c r="T404">
        <f>2*(O404-G404)*(1-O404)*O404</f>
        <v/>
      </c>
      <c r="U404">
        <f>2*(O404-G404)*(1-O404)*O404*C404</f>
        <v/>
      </c>
      <c r="V404">
        <f>2*(O404-G404)*(1-O404)*O404*D404</f>
        <v/>
      </c>
      <c r="W404">
        <f>2*(O404-G404)*(1-O404)*O404*E404</f>
        <v/>
      </c>
      <c r="X404">
        <f>2*(O404-G404)*(1-O404)*O404*F404</f>
        <v/>
      </c>
    </row>
    <row r="405" ht="14.25" customHeight="1" s="96">
      <c r="B405" s="44" t="n"/>
      <c r="C405" s="78" t="n"/>
      <c r="D405" s="46" t="n"/>
      <c r="E405" s="46" t="n"/>
      <c r="F405" s="46" t="n"/>
      <c r="G405" s="45" t="n"/>
      <c r="I405" s="44" t="n"/>
      <c r="J405" s="46" t="n"/>
      <c r="K405" s="46" t="n"/>
      <c r="L405" s="46" t="n"/>
      <c r="M405" s="46" t="n"/>
      <c r="N405" s="46" t="n"/>
      <c r="O405" s="46" t="n"/>
      <c r="P405" s="47" t="n"/>
      <c r="Q405" s="47" t="n"/>
      <c r="R405" s="48" t="n"/>
    </row>
    <row r="406" ht="14.25" customHeight="1" s="96">
      <c r="B406" s="44" t="n"/>
      <c r="C406" s="78" t="n"/>
      <c r="D406" s="46" t="n"/>
      <c r="E406" s="46" t="n"/>
      <c r="F406" s="46" t="n"/>
      <c r="G406" s="45" t="n"/>
      <c r="I406" s="44" t="n"/>
      <c r="J406" s="46" t="n"/>
      <c r="K406" s="46" t="n"/>
      <c r="L406" s="46" t="n"/>
      <c r="M406" s="46" t="n"/>
      <c r="N406" s="46" t="n"/>
      <c r="O406" s="46" t="n"/>
      <c r="P406" s="47" t="n"/>
      <c r="Q406" s="47" t="n"/>
      <c r="R406" s="48" t="n"/>
    </row>
    <row r="407" ht="14.25" customHeight="1" s="96">
      <c r="B407" s="44" t="n"/>
      <c r="C407" s="78" t="n"/>
      <c r="D407" s="46" t="n"/>
      <c r="E407" s="46" t="n"/>
      <c r="F407" s="46" t="n"/>
      <c r="G407" s="45" t="n"/>
      <c r="I407" s="44" t="n"/>
      <c r="J407" s="46" t="n"/>
      <c r="K407" s="46" t="n"/>
      <c r="L407" s="46" t="n"/>
      <c r="M407" s="46" t="n"/>
      <c r="N407" s="46" t="n"/>
      <c r="O407" s="46" t="n"/>
      <c r="P407" s="47" t="n"/>
      <c r="Q407" s="47" t="n"/>
      <c r="R407" s="48" t="n"/>
    </row>
    <row r="408" ht="14.25" customHeight="1" s="96">
      <c r="B408" s="44" t="n"/>
      <c r="C408" s="78" t="n"/>
      <c r="D408" s="46" t="n"/>
      <c r="E408" s="46" t="n"/>
      <c r="F408" s="46" t="n"/>
      <c r="G408" s="45" t="n"/>
      <c r="I408" s="44" t="n"/>
      <c r="J408" s="46" t="n"/>
      <c r="K408" s="46" t="n"/>
      <c r="L408" s="46" t="n"/>
      <c r="M408" s="46" t="n"/>
      <c r="N408" s="46" t="n"/>
      <c r="O408" s="46" t="n"/>
      <c r="P408" s="47" t="n"/>
      <c r="Q408" s="47" t="n"/>
      <c r="R408" s="48" t="n"/>
    </row>
    <row r="409" ht="14.25" customHeight="1" s="96">
      <c r="B409" s="44" t="n"/>
      <c r="C409" s="78" t="n"/>
      <c r="D409" s="46" t="n"/>
      <c r="E409" s="46" t="n"/>
      <c r="F409" s="46" t="n"/>
      <c r="G409" s="45" t="n"/>
      <c r="I409" s="44" t="n"/>
      <c r="J409" s="46" t="n"/>
      <c r="K409" s="46" t="n"/>
      <c r="L409" s="46" t="n"/>
      <c r="M409" s="46" t="n"/>
      <c r="N409" s="46" t="n"/>
      <c r="O409" s="46" t="n"/>
      <c r="P409" s="47" t="n"/>
      <c r="Q409" s="47" t="n"/>
      <c r="R409" s="48" t="n"/>
    </row>
    <row r="410" ht="14.25" customHeight="1" s="96">
      <c r="B410" s="44" t="n"/>
      <c r="C410" s="78" t="n"/>
      <c r="D410" s="46" t="n"/>
      <c r="E410" s="46" t="n"/>
      <c r="F410" s="46" t="n"/>
      <c r="G410" s="45" t="n"/>
      <c r="I410" s="44" t="n"/>
      <c r="J410" s="46" t="n"/>
      <c r="K410" s="46" t="n"/>
      <c r="L410" s="46" t="n"/>
      <c r="M410" s="46" t="n"/>
      <c r="N410" s="46" t="n"/>
      <c r="O410" s="46" t="n"/>
      <c r="P410" s="47" t="n"/>
      <c r="Q410" s="47" t="n"/>
      <c r="R410" s="48" t="n"/>
    </row>
    <row r="411" ht="14.25" customHeight="1" s="96">
      <c r="B411" s="44" t="n"/>
      <c r="C411" s="78" t="n"/>
      <c r="D411" s="46" t="n"/>
      <c r="E411" s="46" t="n"/>
      <c r="F411" s="46" t="n"/>
      <c r="G411" s="45" t="n"/>
      <c r="I411" s="44" t="n"/>
      <c r="J411" s="46" t="n"/>
      <c r="K411" s="46" t="n"/>
      <c r="L411" s="46" t="n"/>
      <c r="M411" s="46" t="n"/>
      <c r="N411" s="46" t="n"/>
      <c r="O411" s="46" t="n"/>
      <c r="P411" s="47" t="n"/>
      <c r="Q411" s="47" t="n"/>
      <c r="R411" s="48" t="n"/>
    </row>
    <row r="412" ht="14.25" customHeight="1" s="96">
      <c r="B412" s="44" t="n"/>
      <c r="C412" s="78" t="n"/>
      <c r="D412" s="46" t="n"/>
      <c r="E412" s="46" t="n"/>
      <c r="F412" s="46" t="n"/>
      <c r="G412" s="45" t="n"/>
      <c r="I412" s="44" t="n"/>
      <c r="J412" s="46" t="n"/>
      <c r="K412" s="46" t="n"/>
      <c r="L412" s="46" t="n"/>
      <c r="M412" s="46" t="n"/>
      <c r="N412" s="46" t="n"/>
      <c r="O412" s="46" t="n"/>
      <c r="P412" s="47" t="n"/>
      <c r="Q412" s="47" t="n"/>
      <c r="R412" s="48" t="n"/>
    </row>
    <row r="413" ht="14.25" customHeight="1" s="96">
      <c r="B413" s="44" t="n"/>
      <c r="C413" s="78" t="n"/>
      <c r="D413" s="46" t="n"/>
      <c r="E413" s="46" t="n"/>
      <c r="F413" s="46" t="n"/>
      <c r="G413" s="45" t="n"/>
      <c r="I413" s="44" t="n"/>
      <c r="J413" s="46" t="n"/>
      <c r="K413" s="46" t="n"/>
      <c r="L413" s="46" t="n"/>
      <c r="M413" s="46" t="n"/>
      <c r="N413" s="46" t="n"/>
      <c r="O413" s="46" t="n"/>
      <c r="P413" s="47" t="n"/>
      <c r="Q413" s="47" t="n"/>
      <c r="R413" s="48" t="n"/>
    </row>
    <row r="414" ht="14.25" customHeight="1" s="96">
      <c r="B414" s="44" t="n"/>
      <c r="C414" s="78" t="n"/>
      <c r="D414" s="46" t="n"/>
      <c r="E414" s="46" t="n"/>
      <c r="F414" s="46" t="n"/>
      <c r="G414" s="45" t="n"/>
      <c r="I414" s="44" t="n"/>
      <c r="J414" s="46" t="n"/>
      <c r="K414" s="46" t="n"/>
      <c r="L414" s="46" t="n"/>
      <c r="M414" s="46" t="n"/>
      <c r="N414" s="46" t="n"/>
      <c r="O414" s="46" t="n"/>
      <c r="P414" s="47" t="n"/>
      <c r="Q414" s="47" t="n"/>
      <c r="R414" s="48" t="n"/>
    </row>
    <row r="415" ht="14.25" customHeight="1" s="96">
      <c r="B415" s="44" t="n"/>
      <c r="C415" s="78" t="n"/>
      <c r="D415" s="46" t="n"/>
      <c r="E415" s="46" t="n"/>
      <c r="F415" s="46" t="n"/>
      <c r="G415" s="45" t="n"/>
      <c r="I415" s="44" t="n"/>
      <c r="J415" s="46" t="n"/>
      <c r="K415" s="46" t="n"/>
      <c r="L415" s="46" t="n"/>
      <c r="M415" s="46" t="n"/>
      <c r="N415" s="46" t="n"/>
      <c r="O415" s="46" t="n"/>
      <c r="P415" s="47" t="n"/>
      <c r="Q415" s="47" t="n"/>
      <c r="R415" s="48" t="n"/>
    </row>
    <row r="416" ht="14.25" customHeight="1" s="96">
      <c r="B416" s="44" t="n"/>
      <c r="C416" s="78" t="n"/>
      <c r="D416" s="46" t="n"/>
      <c r="E416" s="46" t="n"/>
      <c r="F416" s="46" t="n"/>
      <c r="G416" s="45" t="n"/>
      <c r="I416" s="44" t="n"/>
      <c r="J416" s="46" t="n"/>
      <c r="K416" s="46" t="n"/>
      <c r="L416" s="46" t="n"/>
      <c r="M416" s="46" t="n"/>
      <c r="N416" s="46" t="n"/>
      <c r="O416" s="46" t="n"/>
      <c r="P416" s="47" t="n"/>
      <c r="Q416" s="47" t="n"/>
      <c r="R416" s="48" t="n"/>
    </row>
    <row r="417" ht="14.25" customHeight="1" s="96">
      <c r="B417" s="44" t="n"/>
      <c r="C417" s="78" t="n"/>
      <c r="D417" s="46" t="n"/>
      <c r="E417" s="46" t="n"/>
      <c r="F417" s="46" t="n"/>
      <c r="G417" s="45" t="n"/>
      <c r="I417" s="44" t="n"/>
      <c r="J417" s="46" t="n"/>
      <c r="K417" s="46" t="n"/>
      <c r="L417" s="46" t="n"/>
      <c r="M417" s="46" t="n"/>
      <c r="N417" s="46" t="n"/>
      <c r="O417" s="46" t="n"/>
      <c r="P417" s="47" t="n"/>
      <c r="Q417" s="47" t="n"/>
      <c r="R417" s="48" t="n"/>
    </row>
    <row r="418" ht="14.25" customHeight="1" s="96">
      <c r="B418" s="44" t="n"/>
      <c r="C418" s="78" t="n"/>
      <c r="D418" s="46" t="n"/>
      <c r="E418" s="46" t="n"/>
      <c r="F418" s="46" t="n"/>
      <c r="G418" s="45" t="n"/>
      <c r="I418" s="44" t="n"/>
      <c r="J418" s="46" t="n"/>
      <c r="K418" s="46" t="n"/>
      <c r="L418" s="46" t="n"/>
      <c r="M418" s="46" t="n"/>
      <c r="N418" s="46" t="n"/>
      <c r="O418" s="46" t="n"/>
      <c r="P418" s="47" t="n"/>
      <c r="Q418" s="47" t="n"/>
      <c r="R418" s="48" t="n"/>
    </row>
    <row r="419" ht="14.25" customHeight="1" s="96">
      <c r="B419" s="44" t="n"/>
      <c r="C419" s="78" t="n"/>
      <c r="D419" s="46" t="n"/>
      <c r="E419" s="46" t="n"/>
      <c r="F419" s="46" t="n"/>
      <c r="G419" s="45" t="n"/>
      <c r="I419" s="44" t="n"/>
      <c r="J419" s="46" t="n"/>
      <c r="K419" s="46" t="n"/>
      <c r="L419" s="46" t="n"/>
      <c r="M419" s="46" t="n"/>
      <c r="N419" s="46" t="n"/>
      <c r="O419" s="46" t="n"/>
      <c r="P419" s="47" t="n"/>
      <c r="Q419" s="47" t="n"/>
      <c r="R419" s="48" t="n"/>
    </row>
    <row r="420" ht="14.25" customHeight="1" s="96">
      <c r="B420" s="44" t="n"/>
      <c r="C420" s="78" t="n"/>
      <c r="D420" s="46" t="n"/>
      <c r="E420" s="46" t="n"/>
      <c r="F420" s="46" t="n"/>
      <c r="G420" s="45" t="n"/>
      <c r="I420" s="44" t="n"/>
      <c r="J420" s="46" t="n"/>
      <c r="K420" s="46" t="n"/>
      <c r="L420" s="46" t="n"/>
      <c r="M420" s="46" t="n"/>
      <c r="N420" s="46" t="n"/>
      <c r="O420" s="46" t="n"/>
      <c r="P420" s="47" t="n"/>
      <c r="Q420" s="47" t="n"/>
      <c r="R420" s="48" t="n"/>
    </row>
    <row r="421" ht="14.25" customHeight="1" s="96">
      <c r="B421" s="44" t="n"/>
      <c r="C421" s="78" t="n"/>
      <c r="D421" s="46" t="n"/>
      <c r="E421" s="46" t="n"/>
      <c r="F421" s="46" t="n"/>
      <c r="G421" s="45" t="n"/>
      <c r="I421" s="44" t="n"/>
      <c r="J421" s="46" t="n"/>
      <c r="K421" s="46" t="n"/>
      <c r="L421" s="46" t="n"/>
      <c r="M421" s="46" t="n"/>
      <c r="N421" s="46" t="n"/>
      <c r="O421" s="46" t="n"/>
      <c r="P421" s="47" t="n"/>
      <c r="Q421" s="47" t="n"/>
      <c r="R421" s="48" t="n"/>
    </row>
    <row r="422" ht="14.25" customHeight="1" s="96">
      <c r="B422" s="44" t="n"/>
      <c r="C422" s="78" t="n"/>
      <c r="D422" s="46" t="n"/>
      <c r="E422" s="46" t="n"/>
      <c r="F422" s="46" t="n"/>
      <c r="G422" s="45" t="n"/>
      <c r="I422" s="44" t="n"/>
      <c r="J422" s="46" t="n"/>
      <c r="K422" s="46" t="n"/>
      <c r="L422" s="46" t="n"/>
      <c r="M422" s="46" t="n"/>
      <c r="N422" s="46" t="n"/>
      <c r="O422" s="46" t="n"/>
      <c r="P422" s="47" t="n"/>
      <c r="Q422" s="47" t="n"/>
      <c r="R422" s="48" t="n"/>
    </row>
    <row r="423" ht="14.25" customHeight="1" s="96">
      <c r="B423" s="44" t="n"/>
      <c r="C423" s="78" t="n"/>
      <c r="D423" s="46" t="n"/>
      <c r="E423" s="46" t="n"/>
      <c r="F423" s="46" t="n"/>
      <c r="G423" s="45" t="n"/>
      <c r="I423" s="44" t="n"/>
      <c r="J423" s="46" t="n"/>
      <c r="K423" s="46" t="n"/>
      <c r="L423" s="46" t="n"/>
      <c r="M423" s="46" t="n"/>
      <c r="N423" s="46" t="n"/>
      <c r="O423" s="46" t="n"/>
      <c r="P423" s="47" t="n"/>
      <c r="Q423" s="47" t="n"/>
      <c r="R423" s="48" t="n"/>
    </row>
    <row r="424" ht="14.25" customHeight="1" s="96">
      <c r="B424" s="44" t="n"/>
      <c r="C424" s="78" t="n"/>
      <c r="D424" s="46" t="n"/>
      <c r="E424" s="46" t="n"/>
      <c r="F424" s="46" t="n"/>
      <c r="G424" s="45" t="n"/>
      <c r="I424" s="44" t="n"/>
      <c r="J424" s="46" t="n"/>
      <c r="K424" s="46" t="n"/>
      <c r="L424" s="46" t="n"/>
      <c r="M424" s="46" t="n"/>
      <c r="N424" s="46" t="n"/>
      <c r="O424" s="46" t="n"/>
      <c r="P424" s="47" t="n"/>
      <c r="Q424" s="47" t="n"/>
      <c r="R424" s="48" t="n"/>
    </row>
    <row r="425" ht="14.25" customHeight="1" s="96">
      <c r="B425" s="44" t="n"/>
      <c r="C425" s="78" t="n"/>
      <c r="D425" s="46" t="n"/>
      <c r="E425" s="46" t="n"/>
      <c r="F425" s="46" t="n"/>
      <c r="G425" s="45" t="n"/>
      <c r="I425" s="44" t="n"/>
      <c r="J425" s="46" t="n"/>
      <c r="K425" s="46" t="n"/>
      <c r="L425" s="46" t="n"/>
      <c r="M425" s="46" t="n"/>
      <c r="N425" s="46" t="n"/>
      <c r="O425" s="46" t="n"/>
      <c r="P425" s="47" t="n"/>
      <c r="Q425" s="47" t="n"/>
      <c r="R425" s="48" t="n"/>
    </row>
    <row r="426" ht="14.25" customHeight="1" s="96">
      <c r="B426" s="44" t="n"/>
      <c r="C426" s="78" t="n"/>
      <c r="D426" s="46" t="n"/>
      <c r="E426" s="46" t="n"/>
      <c r="F426" s="46" t="n"/>
      <c r="G426" s="45" t="n"/>
      <c r="I426" s="44" t="n"/>
      <c r="J426" s="46" t="n"/>
      <c r="K426" s="46" t="n"/>
      <c r="L426" s="46" t="n"/>
      <c r="M426" s="46" t="n"/>
      <c r="N426" s="46" t="n"/>
      <c r="O426" s="46" t="n"/>
      <c r="P426" s="47" t="n"/>
      <c r="Q426" s="47" t="n"/>
      <c r="R426" s="48" t="n"/>
    </row>
    <row r="427" ht="14.25" customHeight="1" s="96">
      <c r="B427" s="44" t="n"/>
      <c r="C427" s="78" t="n"/>
      <c r="D427" s="46" t="n"/>
      <c r="E427" s="46" t="n"/>
      <c r="F427" s="46" t="n"/>
      <c r="G427" s="45" t="n"/>
      <c r="I427" s="44" t="n"/>
      <c r="J427" s="46" t="n"/>
      <c r="K427" s="46" t="n"/>
      <c r="L427" s="46" t="n"/>
      <c r="M427" s="46" t="n"/>
      <c r="N427" s="46" t="n"/>
      <c r="O427" s="46" t="n"/>
      <c r="P427" s="47" t="n"/>
      <c r="Q427" s="47" t="n"/>
      <c r="R427" s="48" t="n"/>
    </row>
    <row r="428" ht="14.25" customHeight="1" s="96">
      <c r="B428" s="44" t="n"/>
      <c r="C428" s="78" t="n"/>
      <c r="D428" s="46" t="n"/>
      <c r="E428" s="46" t="n"/>
      <c r="F428" s="46" t="n"/>
      <c r="G428" s="45" t="n"/>
      <c r="I428" s="44" t="n"/>
      <c r="J428" s="46" t="n"/>
      <c r="K428" s="46" t="n"/>
      <c r="L428" s="46" t="n"/>
      <c r="M428" s="46" t="n"/>
      <c r="N428" s="46" t="n"/>
      <c r="O428" s="46" t="n"/>
      <c r="P428" s="47" t="n"/>
      <c r="Q428" s="47" t="n"/>
      <c r="R428" s="48" t="n"/>
    </row>
    <row r="429" ht="14.25" customHeight="1" s="96">
      <c r="B429" s="44" t="n"/>
      <c r="C429" s="78" t="n"/>
      <c r="D429" s="46" t="n"/>
      <c r="E429" s="46" t="n"/>
      <c r="F429" s="46" t="n"/>
      <c r="G429" s="45" t="n"/>
      <c r="I429" s="44" t="n"/>
      <c r="J429" s="46" t="n"/>
      <c r="K429" s="46" t="n"/>
      <c r="L429" s="46" t="n"/>
      <c r="M429" s="46" t="n"/>
      <c r="N429" s="46" t="n"/>
      <c r="O429" s="46" t="n"/>
      <c r="P429" s="47" t="n"/>
      <c r="Q429" s="47" t="n"/>
      <c r="R429" s="48" t="n"/>
    </row>
    <row r="430" ht="14.25" customHeight="1" s="96">
      <c r="B430" s="44" t="n"/>
      <c r="C430" s="78" t="n"/>
      <c r="D430" s="46" t="n"/>
      <c r="E430" s="46" t="n"/>
      <c r="F430" s="46" t="n"/>
      <c r="G430" s="45" t="n"/>
      <c r="I430" s="44" t="n"/>
      <c r="J430" s="46" t="n"/>
      <c r="K430" s="46" t="n"/>
      <c r="L430" s="46" t="n"/>
      <c r="M430" s="46" t="n"/>
      <c r="N430" s="46" t="n"/>
      <c r="O430" s="46" t="n"/>
      <c r="P430" s="47" t="n"/>
      <c r="Q430" s="47" t="n"/>
      <c r="R430" s="48" t="n"/>
    </row>
    <row r="431" ht="14.25" customHeight="1" s="96">
      <c r="B431" s="44" t="n"/>
      <c r="C431" s="78" t="n"/>
      <c r="D431" s="46" t="n"/>
      <c r="E431" s="46" t="n"/>
      <c r="F431" s="46" t="n"/>
      <c r="G431" s="45" t="n"/>
      <c r="I431" s="44" t="n"/>
      <c r="J431" s="46" t="n"/>
      <c r="K431" s="46" t="n"/>
      <c r="L431" s="46" t="n"/>
      <c r="M431" s="46" t="n"/>
      <c r="N431" s="46" t="n"/>
      <c r="O431" s="46" t="n"/>
      <c r="P431" s="47" t="n"/>
      <c r="Q431" s="47" t="n"/>
      <c r="R431" s="48" t="n"/>
    </row>
    <row r="432" ht="14.25" customHeight="1" s="96">
      <c r="B432" s="44" t="n"/>
      <c r="C432" s="78" t="n"/>
      <c r="D432" s="46" t="n"/>
      <c r="E432" s="46" t="n"/>
      <c r="F432" s="46" t="n"/>
      <c r="G432" s="45" t="n"/>
      <c r="I432" s="44" t="n"/>
      <c r="J432" s="46" t="n"/>
      <c r="K432" s="46" t="n"/>
      <c r="L432" s="46" t="n"/>
      <c r="M432" s="46" t="n"/>
      <c r="N432" s="46" t="n"/>
      <c r="O432" s="46" t="n"/>
      <c r="P432" s="47" t="n"/>
      <c r="Q432" s="47" t="n"/>
      <c r="R432" s="48" t="n"/>
    </row>
    <row r="433" ht="14.25" customHeight="1" s="96">
      <c r="B433" s="44" t="n"/>
      <c r="C433" s="78" t="n"/>
      <c r="D433" s="46" t="n"/>
      <c r="E433" s="46" t="n"/>
      <c r="F433" s="46" t="n"/>
      <c r="G433" s="45" t="n"/>
      <c r="I433" s="44" t="n"/>
      <c r="J433" s="46" t="n"/>
      <c r="K433" s="46" t="n"/>
      <c r="L433" s="46" t="n"/>
      <c r="M433" s="46" t="n"/>
      <c r="N433" s="46" t="n"/>
      <c r="O433" s="46" t="n"/>
      <c r="P433" s="47" t="n"/>
      <c r="Q433" s="47" t="n"/>
      <c r="R433" s="48" t="n"/>
    </row>
    <row r="434" ht="14.25" customHeight="1" s="96">
      <c r="B434" s="44" t="n"/>
      <c r="C434" s="78" t="n"/>
      <c r="D434" s="46" t="n"/>
      <c r="E434" s="46" t="n"/>
      <c r="F434" s="46" t="n"/>
      <c r="G434" s="45" t="n"/>
      <c r="I434" s="44" t="n"/>
      <c r="J434" s="46" t="n"/>
      <c r="K434" s="46" t="n"/>
      <c r="L434" s="46" t="n"/>
      <c r="M434" s="46" t="n"/>
      <c r="N434" s="46" t="n"/>
      <c r="O434" s="46" t="n"/>
      <c r="P434" s="47" t="n"/>
      <c r="Q434" s="47" t="n"/>
      <c r="R434" s="48" t="n"/>
    </row>
    <row r="435" ht="14.25" customHeight="1" s="96">
      <c r="B435" s="44" t="n"/>
      <c r="C435" s="78" t="n"/>
      <c r="D435" s="46" t="n"/>
      <c r="E435" s="46" t="n"/>
      <c r="F435" s="46" t="n"/>
      <c r="G435" s="45" t="n"/>
      <c r="I435" s="44" t="n"/>
      <c r="J435" s="46" t="n"/>
      <c r="K435" s="46" t="n"/>
      <c r="L435" s="46" t="n"/>
      <c r="M435" s="46" t="n"/>
      <c r="N435" s="46" t="n"/>
      <c r="O435" s="46" t="n"/>
      <c r="P435" s="47" t="n"/>
      <c r="Q435" s="47" t="n"/>
      <c r="R435" s="48" t="n"/>
    </row>
    <row r="436" ht="14.25" customHeight="1" s="96">
      <c r="B436" s="44" t="n"/>
      <c r="C436" s="78" t="n"/>
      <c r="D436" s="46" t="n"/>
      <c r="E436" s="46" t="n"/>
      <c r="F436" s="46" t="n"/>
      <c r="G436" s="45" t="n"/>
      <c r="I436" s="44" t="n"/>
      <c r="J436" s="46" t="n"/>
      <c r="K436" s="46" t="n"/>
      <c r="L436" s="46" t="n"/>
      <c r="M436" s="46" t="n"/>
      <c r="N436" s="46" t="n"/>
      <c r="O436" s="46" t="n"/>
      <c r="P436" s="47" t="n"/>
      <c r="Q436" s="47" t="n"/>
      <c r="R436" s="48" t="n"/>
    </row>
    <row r="437" ht="14.25" customHeight="1" s="96">
      <c r="B437" s="44" t="n"/>
      <c r="C437" s="78" t="n"/>
      <c r="D437" s="46" t="n"/>
      <c r="E437" s="46" t="n"/>
      <c r="F437" s="46" t="n"/>
      <c r="G437" s="45" t="n"/>
      <c r="I437" s="44" t="n"/>
      <c r="J437" s="46" t="n"/>
      <c r="K437" s="46" t="n"/>
      <c r="L437" s="46" t="n"/>
      <c r="M437" s="46" t="n"/>
      <c r="N437" s="46" t="n"/>
      <c r="O437" s="46" t="n"/>
      <c r="P437" s="47" t="n"/>
      <c r="Q437" s="47" t="n"/>
      <c r="R437" s="48" t="n"/>
    </row>
    <row r="438" ht="14.25" customHeight="1" s="96">
      <c r="B438" s="44" t="n"/>
      <c r="C438" s="78" t="n"/>
      <c r="D438" s="46" t="n"/>
      <c r="E438" s="46" t="n"/>
      <c r="F438" s="46" t="n"/>
      <c r="G438" s="45" t="n"/>
      <c r="I438" s="44" t="n"/>
      <c r="J438" s="46" t="n"/>
      <c r="K438" s="46" t="n"/>
      <c r="L438" s="46" t="n"/>
      <c r="M438" s="46" t="n"/>
      <c r="N438" s="46" t="n"/>
      <c r="O438" s="46" t="n"/>
      <c r="P438" s="47" t="n"/>
      <c r="Q438" s="47" t="n"/>
      <c r="R438" s="48" t="n"/>
    </row>
    <row r="439" ht="14.25" customHeight="1" s="96">
      <c r="B439" s="44" t="n"/>
      <c r="C439" s="78" t="n"/>
      <c r="D439" s="46" t="n"/>
      <c r="E439" s="46" t="n"/>
      <c r="F439" s="46" t="n"/>
      <c r="G439" s="45" t="n"/>
      <c r="I439" s="44" t="n"/>
      <c r="J439" s="46" t="n"/>
      <c r="K439" s="46" t="n"/>
      <c r="L439" s="46" t="n"/>
      <c r="M439" s="46" t="n"/>
      <c r="N439" s="46" t="n"/>
      <c r="O439" s="46" t="n"/>
      <c r="P439" s="47" t="n"/>
      <c r="Q439" s="47" t="n"/>
      <c r="R439" s="48" t="n"/>
    </row>
    <row r="440" ht="14.25" customHeight="1" s="96">
      <c r="B440" s="44" t="n"/>
      <c r="C440" s="78" t="n"/>
      <c r="D440" s="46" t="n"/>
      <c r="E440" s="46" t="n"/>
      <c r="F440" s="46" t="n"/>
      <c r="G440" s="45" t="n"/>
      <c r="I440" s="44" t="n"/>
      <c r="J440" s="46" t="n"/>
      <c r="K440" s="46" t="n"/>
      <c r="L440" s="46" t="n"/>
      <c r="M440" s="46" t="n"/>
      <c r="N440" s="46" t="n"/>
      <c r="O440" s="46" t="n"/>
      <c r="P440" s="47" t="n"/>
      <c r="Q440" s="47" t="n"/>
      <c r="R440" s="48" t="n"/>
    </row>
    <row r="441" ht="14.25" customHeight="1" s="96">
      <c r="B441" s="44" t="n"/>
      <c r="C441" s="78" t="n"/>
      <c r="D441" s="46" t="n"/>
      <c r="E441" s="46" t="n"/>
      <c r="F441" s="46" t="n"/>
      <c r="G441" s="45" t="n"/>
      <c r="I441" s="44" t="n"/>
      <c r="J441" s="46" t="n"/>
      <c r="K441" s="46" t="n"/>
      <c r="L441" s="46" t="n"/>
      <c r="M441" s="46" t="n"/>
      <c r="N441" s="46" t="n"/>
      <c r="O441" s="46" t="n"/>
      <c r="P441" s="47" t="n"/>
      <c r="Q441" s="47" t="n"/>
      <c r="R441" s="48" t="n"/>
    </row>
    <row r="442" ht="14.25" customHeight="1" s="96">
      <c r="B442" s="44" t="n"/>
      <c r="C442" s="78" t="n"/>
      <c r="D442" s="46" t="n"/>
      <c r="E442" s="46" t="n"/>
      <c r="F442" s="46" t="n"/>
      <c r="G442" s="45" t="n"/>
      <c r="I442" s="44" t="n"/>
      <c r="J442" s="46" t="n"/>
      <c r="K442" s="46" t="n"/>
      <c r="L442" s="46" t="n"/>
      <c r="M442" s="46" t="n"/>
      <c r="N442" s="46" t="n"/>
      <c r="O442" s="46" t="n"/>
      <c r="P442" s="47" t="n"/>
      <c r="Q442" s="47" t="n"/>
      <c r="R442" s="48" t="n"/>
    </row>
    <row r="443" ht="14.25" customHeight="1" s="96">
      <c r="B443" s="44" t="n"/>
      <c r="C443" s="78" t="n"/>
      <c r="D443" s="46" t="n"/>
      <c r="E443" s="46" t="n"/>
      <c r="F443" s="46" t="n"/>
      <c r="G443" s="45" t="n"/>
      <c r="I443" s="44" t="n"/>
      <c r="J443" s="46" t="n"/>
      <c r="K443" s="46" t="n"/>
      <c r="L443" s="46" t="n"/>
      <c r="M443" s="46" t="n"/>
      <c r="N443" s="46" t="n"/>
      <c r="O443" s="46" t="n"/>
      <c r="P443" s="47" t="n"/>
      <c r="Q443" s="47" t="n"/>
      <c r="R443" s="48" t="n"/>
    </row>
    <row r="444" ht="14.25" customHeight="1" s="96">
      <c r="B444" s="44" t="n"/>
      <c r="C444" s="78" t="n"/>
      <c r="D444" s="46" t="n"/>
      <c r="E444" s="46" t="n"/>
      <c r="F444" s="46" t="n"/>
      <c r="G444" s="45" t="n"/>
      <c r="I444" s="44" t="n"/>
      <c r="J444" s="46" t="n"/>
      <c r="K444" s="46" t="n"/>
      <c r="L444" s="46" t="n"/>
      <c r="M444" s="46" t="n"/>
      <c r="N444" s="46" t="n"/>
      <c r="O444" s="46" t="n"/>
      <c r="P444" s="47" t="n"/>
      <c r="Q444" s="47" t="n"/>
      <c r="R444" s="48" t="n"/>
    </row>
    <row r="445" ht="14.25" customHeight="1" s="96">
      <c r="B445" s="44" t="n"/>
      <c r="C445" s="78" t="n"/>
      <c r="D445" s="46" t="n"/>
      <c r="E445" s="46" t="n"/>
      <c r="F445" s="46" t="n"/>
      <c r="G445" s="45" t="n"/>
      <c r="I445" s="44" t="n"/>
      <c r="J445" s="46" t="n"/>
      <c r="K445" s="46" t="n"/>
      <c r="L445" s="46" t="n"/>
      <c r="M445" s="46" t="n"/>
      <c r="N445" s="46" t="n"/>
      <c r="O445" s="46" t="n"/>
      <c r="P445" s="47" t="n"/>
      <c r="Q445" s="47" t="n"/>
      <c r="R445" s="48" t="n"/>
    </row>
    <row r="446" ht="14.25" customHeight="1" s="96">
      <c r="B446" s="44" t="n"/>
      <c r="C446" s="78" t="n"/>
      <c r="D446" s="46" t="n"/>
      <c r="E446" s="46" t="n"/>
      <c r="F446" s="46" t="n"/>
      <c r="G446" s="45" t="n"/>
      <c r="I446" s="44" t="n"/>
      <c r="J446" s="46" t="n"/>
      <c r="K446" s="46" t="n"/>
      <c r="L446" s="46" t="n"/>
      <c r="M446" s="46" t="n"/>
      <c r="N446" s="46" t="n"/>
      <c r="O446" s="46" t="n"/>
      <c r="P446" s="47" t="n"/>
      <c r="Q446" s="47" t="n"/>
      <c r="R446" s="48" t="n"/>
    </row>
    <row r="447" ht="14.25" customHeight="1" s="96">
      <c r="B447" s="44" t="n"/>
      <c r="C447" s="78" t="n"/>
      <c r="D447" s="46" t="n"/>
      <c r="E447" s="46" t="n"/>
      <c r="F447" s="46" t="n"/>
      <c r="G447" s="45" t="n"/>
      <c r="I447" s="44" t="n"/>
      <c r="J447" s="46" t="n"/>
      <c r="K447" s="46" t="n"/>
      <c r="L447" s="46" t="n"/>
      <c r="M447" s="46" t="n"/>
      <c r="N447" s="46" t="n"/>
      <c r="O447" s="46" t="n"/>
      <c r="P447" s="47" t="n"/>
      <c r="Q447" s="47" t="n"/>
      <c r="R447" s="48" t="n"/>
    </row>
    <row r="448" ht="14.25" customHeight="1" s="96">
      <c r="B448" s="44" t="n"/>
      <c r="C448" s="78" t="n"/>
      <c r="D448" s="46" t="n"/>
      <c r="E448" s="46" t="n"/>
      <c r="F448" s="46" t="n"/>
      <c r="G448" s="45" t="n"/>
      <c r="I448" s="44" t="n"/>
      <c r="J448" s="46" t="n"/>
      <c r="K448" s="46" t="n"/>
      <c r="L448" s="46" t="n"/>
      <c r="M448" s="46" t="n"/>
      <c r="N448" s="46" t="n"/>
      <c r="O448" s="46" t="n"/>
      <c r="P448" s="47" t="n"/>
      <c r="Q448" s="47" t="n"/>
      <c r="R448" s="48" t="n"/>
    </row>
    <row r="449" ht="14.25" customHeight="1" s="96">
      <c r="B449" s="44" t="n"/>
      <c r="C449" s="78" t="n"/>
      <c r="D449" s="46" t="n"/>
      <c r="E449" s="46" t="n"/>
      <c r="F449" s="46" t="n"/>
      <c r="G449" s="45" t="n"/>
      <c r="I449" s="44" t="n"/>
      <c r="J449" s="46" t="n"/>
      <c r="K449" s="46" t="n"/>
      <c r="L449" s="46" t="n"/>
      <c r="M449" s="46" t="n"/>
      <c r="N449" s="46" t="n"/>
      <c r="O449" s="46" t="n"/>
      <c r="P449" s="47" t="n"/>
      <c r="Q449" s="47" t="n"/>
      <c r="R449" s="48" t="n"/>
    </row>
    <row r="450" ht="14.25" customHeight="1" s="96">
      <c r="B450" s="44" t="n"/>
      <c r="C450" s="78" t="n"/>
      <c r="D450" s="46" t="n"/>
      <c r="E450" s="46" t="n"/>
      <c r="F450" s="46" t="n"/>
      <c r="G450" s="45" t="n"/>
      <c r="I450" s="44" t="n"/>
      <c r="J450" s="46" t="n"/>
      <c r="K450" s="46" t="n"/>
      <c r="L450" s="46" t="n"/>
      <c r="M450" s="46" t="n"/>
      <c r="N450" s="46" t="n"/>
      <c r="O450" s="46" t="n"/>
      <c r="P450" s="47" t="n"/>
      <c r="Q450" s="47" t="n"/>
      <c r="R450" s="48" t="n"/>
    </row>
    <row r="451" ht="14.25" customHeight="1" s="96">
      <c r="B451" s="44" t="n"/>
      <c r="C451" s="78" t="n"/>
      <c r="D451" s="46" t="n"/>
      <c r="E451" s="46" t="n"/>
      <c r="F451" s="46" t="n"/>
      <c r="G451" s="45" t="n"/>
      <c r="I451" s="44" t="n"/>
      <c r="J451" s="46" t="n"/>
      <c r="K451" s="46" t="n"/>
      <c r="L451" s="46" t="n"/>
      <c r="M451" s="46" t="n"/>
      <c r="N451" s="46" t="n"/>
      <c r="O451" s="46" t="n"/>
      <c r="P451" s="47" t="n"/>
      <c r="Q451" s="47" t="n"/>
      <c r="R451" s="48" t="n"/>
    </row>
    <row r="452" ht="14.25" customHeight="1" s="96">
      <c r="B452" s="44" t="n"/>
      <c r="C452" s="78" t="n"/>
      <c r="D452" s="46" t="n"/>
      <c r="E452" s="46" t="n"/>
      <c r="F452" s="46" t="n"/>
      <c r="G452" s="45" t="n"/>
      <c r="I452" s="44" t="n"/>
      <c r="J452" s="46" t="n"/>
      <c r="K452" s="46" t="n"/>
      <c r="L452" s="46" t="n"/>
      <c r="M452" s="46" t="n"/>
      <c r="N452" s="46" t="n"/>
      <c r="O452" s="46" t="n"/>
      <c r="P452" s="47" t="n"/>
      <c r="Q452" s="47" t="n"/>
      <c r="R452" s="48" t="n"/>
    </row>
    <row r="453" ht="14.25" customHeight="1" s="96">
      <c r="B453" s="44" t="n"/>
      <c r="C453" s="78" t="n"/>
      <c r="D453" s="46" t="n"/>
      <c r="E453" s="46" t="n"/>
      <c r="F453" s="46" t="n"/>
      <c r="G453" s="45" t="n"/>
      <c r="I453" s="44" t="n"/>
      <c r="J453" s="46" t="n"/>
      <c r="K453" s="46" t="n"/>
      <c r="L453" s="46" t="n"/>
      <c r="M453" s="46" t="n"/>
      <c r="N453" s="46" t="n"/>
      <c r="O453" s="46" t="n"/>
      <c r="P453" s="47" t="n"/>
      <c r="Q453" s="47" t="n"/>
      <c r="R453" s="48" t="n"/>
    </row>
    <row r="454" ht="14.25" customHeight="1" s="96">
      <c r="B454" s="44" t="n"/>
      <c r="C454" s="78" t="n"/>
      <c r="D454" s="46" t="n"/>
      <c r="E454" s="46" t="n"/>
      <c r="F454" s="46" t="n"/>
      <c r="G454" s="45" t="n"/>
      <c r="I454" s="44" t="n"/>
      <c r="J454" s="46" t="n"/>
      <c r="K454" s="46" t="n"/>
      <c r="L454" s="46" t="n"/>
      <c r="M454" s="46" t="n"/>
      <c r="N454" s="46" t="n"/>
      <c r="O454" s="46" t="n"/>
      <c r="P454" s="47" t="n"/>
      <c r="Q454" s="47" t="n"/>
      <c r="R454" s="48" t="n"/>
    </row>
    <row r="455" ht="14.25" customHeight="1" s="96">
      <c r="B455" s="44" t="n"/>
      <c r="C455" s="78" t="n"/>
      <c r="D455" s="46" t="n"/>
      <c r="E455" s="46" t="n"/>
      <c r="F455" s="46" t="n"/>
      <c r="G455" s="45" t="n"/>
      <c r="I455" s="44" t="n"/>
      <c r="J455" s="46" t="n"/>
      <c r="K455" s="46" t="n"/>
      <c r="L455" s="46" t="n"/>
      <c r="M455" s="46" t="n"/>
      <c r="N455" s="46" t="n"/>
      <c r="O455" s="46" t="n"/>
      <c r="P455" s="47" t="n"/>
      <c r="Q455" s="47" t="n"/>
      <c r="R455" s="48" t="n"/>
    </row>
    <row r="456" ht="14.25" customHeight="1" s="96">
      <c r="B456" s="44" t="n"/>
      <c r="C456" s="78" t="n"/>
      <c r="D456" s="46" t="n"/>
      <c r="E456" s="46" t="n"/>
      <c r="F456" s="46" t="n"/>
      <c r="G456" s="45" t="n"/>
      <c r="I456" s="44" t="n"/>
      <c r="J456" s="46" t="n"/>
      <c r="K456" s="46" t="n"/>
      <c r="L456" s="46" t="n"/>
      <c r="M456" s="46" t="n"/>
      <c r="N456" s="46" t="n"/>
      <c r="O456" s="46" t="n"/>
      <c r="P456" s="47" t="n"/>
      <c r="Q456" s="47" t="n"/>
      <c r="R456" s="48" t="n"/>
    </row>
    <row r="457" ht="14.25" customHeight="1" s="96">
      <c r="B457" s="44" t="n"/>
      <c r="C457" s="78" t="n"/>
      <c r="D457" s="46" t="n"/>
      <c r="E457" s="46" t="n"/>
      <c r="F457" s="46" t="n"/>
      <c r="G457" s="45" t="n"/>
      <c r="I457" s="44" t="n"/>
      <c r="J457" s="46" t="n"/>
      <c r="K457" s="46" t="n"/>
      <c r="L457" s="46" t="n"/>
      <c r="M457" s="46" t="n"/>
      <c r="N457" s="46" t="n"/>
      <c r="O457" s="46" t="n"/>
      <c r="P457" s="47" t="n"/>
      <c r="Q457" s="47" t="n"/>
      <c r="R457" s="48" t="n"/>
    </row>
    <row r="458" ht="14.25" customHeight="1" s="96">
      <c r="B458" s="44" t="n"/>
      <c r="C458" s="78" t="n"/>
      <c r="D458" s="46" t="n"/>
      <c r="E458" s="46" t="n"/>
      <c r="F458" s="46" t="n"/>
      <c r="G458" s="45" t="n"/>
      <c r="I458" s="44" t="n"/>
      <c r="J458" s="46" t="n"/>
      <c r="K458" s="46" t="n"/>
      <c r="L458" s="46" t="n"/>
      <c r="M458" s="46" t="n"/>
      <c r="N458" s="46" t="n"/>
      <c r="O458" s="46" t="n"/>
      <c r="P458" s="47" t="n"/>
      <c r="Q458" s="47" t="n"/>
      <c r="R458" s="48" t="n"/>
    </row>
    <row r="459" ht="14.25" customHeight="1" s="96">
      <c r="B459" s="44" t="n"/>
      <c r="C459" s="78" t="n"/>
      <c r="D459" s="46" t="n"/>
      <c r="E459" s="46" t="n"/>
      <c r="F459" s="46" t="n"/>
      <c r="G459" s="45" t="n"/>
      <c r="I459" s="44" t="n"/>
      <c r="J459" s="46" t="n"/>
      <c r="K459" s="46" t="n"/>
      <c r="L459" s="46" t="n"/>
      <c r="M459" s="46" t="n"/>
      <c r="N459" s="46" t="n"/>
      <c r="O459" s="46" t="n"/>
      <c r="P459" s="47" t="n"/>
      <c r="Q459" s="47" t="n"/>
      <c r="R459" s="48" t="n"/>
    </row>
    <row r="460" ht="14.25" customHeight="1" s="96">
      <c r="B460" s="44" t="n"/>
      <c r="C460" s="78" t="n"/>
      <c r="D460" s="46" t="n"/>
      <c r="E460" s="46" t="n"/>
      <c r="F460" s="46" t="n"/>
      <c r="G460" s="45" t="n"/>
      <c r="I460" s="44" t="n"/>
      <c r="J460" s="46" t="n"/>
      <c r="K460" s="46" t="n"/>
      <c r="L460" s="46" t="n"/>
      <c r="M460" s="46" t="n"/>
      <c r="N460" s="46" t="n"/>
      <c r="O460" s="46" t="n"/>
      <c r="P460" s="47" t="n"/>
      <c r="Q460" s="47" t="n"/>
      <c r="R460" s="48" t="n"/>
    </row>
    <row r="461" ht="14.25" customHeight="1" s="96">
      <c r="B461" s="44" t="n"/>
      <c r="C461" s="78" t="n"/>
      <c r="D461" s="46" t="n"/>
      <c r="E461" s="46" t="n"/>
      <c r="F461" s="46" t="n"/>
      <c r="G461" s="45" t="n"/>
      <c r="I461" s="44" t="n"/>
      <c r="J461" s="46" t="n"/>
      <c r="K461" s="46" t="n"/>
      <c r="L461" s="46" t="n"/>
      <c r="M461" s="46" t="n"/>
      <c r="N461" s="46" t="n"/>
      <c r="O461" s="46" t="n"/>
      <c r="P461" s="47" t="n"/>
      <c r="Q461" s="47" t="n"/>
      <c r="R461" s="48" t="n"/>
    </row>
    <row r="462" ht="14.25" customHeight="1" s="96">
      <c r="B462" s="44" t="n"/>
      <c r="C462" s="78" t="n"/>
      <c r="D462" s="46" t="n"/>
      <c r="E462" s="46" t="n"/>
      <c r="F462" s="46" t="n"/>
      <c r="G462" s="45" t="n"/>
      <c r="I462" s="44" t="n"/>
      <c r="J462" s="46" t="n"/>
      <c r="K462" s="46" t="n"/>
      <c r="L462" s="46" t="n"/>
      <c r="M462" s="46" t="n"/>
      <c r="N462" s="46" t="n"/>
      <c r="O462" s="46" t="n"/>
      <c r="P462" s="47" t="n"/>
      <c r="Q462" s="47" t="n"/>
      <c r="R462" s="48" t="n"/>
    </row>
    <row r="463" ht="14.25" customHeight="1" s="96">
      <c r="B463" s="44" t="n"/>
      <c r="C463" s="78" t="n"/>
      <c r="D463" s="46" t="n"/>
      <c r="E463" s="46" t="n"/>
      <c r="F463" s="46" t="n"/>
      <c r="G463" s="45" t="n"/>
      <c r="I463" s="44" t="n"/>
      <c r="J463" s="46" t="n"/>
      <c r="K463" s="46" t="n"/>
      <c r="L463" s="46" t="n"/>
      <c r="M463" s="46" t="n"/>
      <c r="N463" s="46" t="n"/>
      <c r="O463" s="46" t="n"/>
      <c r="P463" s="47" t="n"/>
      <c r="Q463" s="47" t="n"/>
      <c r="R463" s="48" t="n"/>
    </row>
    <row r="464" ht="14.25" customHeight="1" s="96">
      <c r="B464" s="44" t="n"/>
      <c r="C464" s="78" t="n"/>
      <c r="D464" s="46" t="n"/>
      <c r="E464" s="46" t="n"/>
      <c r="F464" s="46" t="n"/>
      <c r="G464" s="45" t="n"/>
      <c r="I464" s="44" t="n"/>
      <c r="J464" s="46" t="n"/>
      <c r="K464" s="46" t="n"/>
      <c r="L464" s="46" t="n"/>
      <c r="M464" s="46" t="n"/>
      <c r="N464" s="46" t="n"/>
      <c r="O464" s="46" t="n"/>
      <c r="P464" s="47" t="n"/>
      <c r="Q464" s="47" t="n"/>
      <c r="R464" s="48" t="n"/>
    </row>
    <row r="465" ht="14.25" customHeight="1" s="96">
      <c r="B465" s="44" t="n"/>
      <c r="C465" s="78" t="n"/>
      <c r="D465" s="46" t="n"/>
      <c r="E465" s="46" t="n"/>
      <c r="F465" s="46" t="n"/>
      <c r="G465" s="45" t="n"/>
      <c r="I465" s="44" t="n"/>
      <c r="J465" s="46" t="n"/>
      <c r="K465" s="46" t="n"/>
      <c r="L465" s="46" t="n"/>
      <c r="M465" s="46" t="n"/>
      <c r="N465" s="46" t="n"/>
      <c r="O465" s="46" t="n"/>
      <c r="P465" s="47" t="n"/>
      <c r="Q465" s="47" t="n"/>
      <c r="R465" s="48" t="n"/>
    </row>
    <row r="466" ht="14.25" customHeight="1" s="96">
      <c r="B466" s="44" t="n"/>
      <c r="C466" s="78" t="n"/>
      <c r="D466" s="46" t="n"/>
      <c r="E466" s="46" t="n"/>
      <c r="F466" s="46" t="n"/>
      <c r="G466" s="45" t="n"/>
      <c r="I466" s="44" t="n"/>
      <c r="J466" s="46" t="n"/>
      <c r="K466" s="46" t="n"/>
      <c r="L466" s="46" t="n"/>
      <c r="M466" s="46" t="n"/>
      <c r="N466" s="46" t="n"/>
      <c r="O466" s="46" t="n"/>
      <c r="P466" s="47" t="n"/>
      <c r="Q466" s="47" t="n"/>
      <c r="R466" s="48" t="n"/>
    </row>
    <row r="467" ht="14.25" customHeight="1" s="96">
      <c r="B467" s="44" t="n"/>
      <c r="C467" s="78" t="n"/>
      <c r="D467" s="46" t="n"/>
      <c r="E467" s="46" t="n"/>
      <c r="F467" s="46" t="n"/>
      <c r="G467" s="45" t="n"/>
      <c r="I467" s="44" t="n"/>
      <c r="J467" s="46" t="n"/>
      <c r="K467" s="46" t="n"/>
      <c r="L467" s="46" t="n"/>
      <c r="M467" s="46" t="n"/>
      <c r="N467" s="46" t="n"/>
      <c r="O467" s="46" t="n"/>
      <c r="P467" s="47" t="n"/>
      <c r="Q467" s="47" t="n"/>
      <c r="R467" s="48" t="n"/>
    </row>
    <row r="468" ht="14.25" customHeight="1" s="96">
      <c r="B468" s="44" t="n"/>
      <c r="C468" s="78" t="n"/>
      <c r="D468" s="46" t="n"/>
      <c r="E468" s="46" t="n"/>
      <c r="F468" s="46" t="n"/>
      <c r="G468" s="45" t="n"/>
      <c r="I468" s="44" t="n"/>
      <c r="J468" s="46" t="n"/>
      <c r="K468" s="46" t="n"/>
      <c r="L468" s="46" t="n"/>
      <c r="M468" s="46" t="n"/>
      <c r="N468" s="46" t="n"/>
      <c r="O468" s="46" t="n"/>
      <c r="P468" s="47" t="n"/>
      <c r="Q468" s="47" t="n"/>
      <c r="R468" s="48" t="n"/>
    </row>
    <row r="469" ht="14.25" customHeight="1" s="96">
      <c r="B469" s="44" t="n"/>
      <c r="C469" s="78" t="n"/>
      <c r="D469" s="46" t="n"/>
      <c r="E469" s="46" t="n"/>
      <c r="F469" s="46" t="n"/>
      <c r="G469" s="45" t="n"/>
      <c r="I469" s="44" t="n"/>
      <c r="J469" s="46" t="n"/>
      <c r="K469" s="46" t="n"/>
      <c r="L469" s="46" t="n"/>
      <c r="M469" s="46" t="n"/>
      <c r="N469" s="46" t="n"/>
      <c r="O469" s="46" t="n"/>
      <c r="P469" s="47" t="n"/>
      <c r="Q469" s="47" t="n"/>
      <c r="R469" s="48" t="n"/>
    </row>
    <row r="470" ht="14.25" customHeight="1" s="96">
      <c r="B470" s="44" t="n"/>
      <c r="C470" s="78" t="n"/>
      <c r="D470" s="46" t="n"/>
      <c r="E470" s="46" t="n"/>
      <c r="F470" s="46" t="n"/>
      <c r="G470" s="45" t="n"/>
      <c r="I470" s="44" t="n"/>
      <c r="J470" s="46" t="n"/>
      <c r="K470" s="46" t="n"/>
      <c r="L470" s="46" t="n"/>
      <c r="M470" s="46" t="n"/>
      <c r="N470" s="46" t="n"/>
      <c r="O470" s="46" t="n"/>
      <c r="P470" s="47" t="n"/>
      <c r="Q470" s="47" t="n"/>
      <c r="R470" s="48" t="n"/>
    </row>
    <row r="471" ht="14.25" customHeight="1" s="96">
      <c r="B471" s="44" t="n"/>
      <c r="C471" s="78" t="n"/>
      <c r="D471" s="46" t="n"/>
      <c r="E471" s="46" t="n"/>
      <c r="F471" s="46" t="n"/>
      <c r="G471" s="45" t="n"/>
      <c r="I471" s="44" t="n"/>
      <c r="J471" s="46" t="n"/>
      <c r="K471" s="46" t="n"/>
      <c r="L471" s="46" t="n"/>
      <c r="M471" s="46" t="n"/>
      <c r="N471" s="46" t="n"/>
      <c r="O471" s="46" t="n"/>
      <c r="P471" s="47" t="n"/>
      <c r="Q471" s="47" t="n"/>
      <c r="R471" s="48" t="n"/>
    </row>
    <row r="472" ht="14.25" customHeight="1" s="96">
      <c r="B472" s="44" t="n"/>
      <c r="C472" s="78" t="n"/>
      <c r="D472" s="46" t="n"/>
      <c r="E472" s="46" t="n"/>
      <c r="F472" s="46" t="n"/>
      <c r="G472" s="45" t="n"/>
      <c r="I472" s="44" t="n"/>
      <c r="J472" s="46" t="n"/>
      <c r="K472" s="46" t="n"/>
      <c r="L472" s="46" t="n"/>
      <c r="M472" s="46" t="n"/>
      <c r="N472" s="46" t="n"/>
      <c r="O472" s="46" t="n"/>
      <c r="P472" s="47" t="n"/>
      <c r="Q472" s="47" t="n"/>
      <c r="R472" s="48" t="n"/>
    </row>
    <row r="473" ht="14.25" customHeight="1" s="96">
      <c r="B473" s="44" t="n"/>
      <c r="C473" s="78" t="n"/>
      <c r="D473" s="46" t="n"/>
      <c r="E473" s="46" t="n"/>
      <c r="F473" s="46" t="n"/>
      <c r="G473" s="45" t="n"/>
      <c r="I473" s="44" t="n"/>
      <c r="J473" s="46" t="n"/>
      <c r="K473" s="46" t="n"/>
      <c r="L473" s="46" t="n"/>
      <c r="M473" s="46" t="n"/>
      <c r="N473" s="46" t="n"/>
      <c r="O473" s="46" t="n"/>
      <c r="P473" s="47" t="n"/>
      <c r="Q473" s="47" t="n"/>
      <c r="R473" s="48" t="n"/>
    </row>
    <row r="474" ht="14.25" customHeight="1" s="96">
      <c r="B474" s="44" t="n"/>
      <c r="C474" s="78" t="n"/>
      <c r="D474" s="46" t="n"/>
      <c r="E474" s="46" t="n"/>
      <c r="F474" s="46" t="n"/>
      <c r="G474" s="45" t="n"/>
      <c r="I474" s="44" t="n"/>
      <c r="J474" s="46" t="n"/>
      <c r="K474" s="46" t="n"/>
      <c r="L474" s="46" t="n"/>
      <c r="M474" s="46" t="n"/>
      <c r="N474" s="46" t="n"/>
      <c r="O474" s="46" t="n"/>
      <c r="P474" s="47" t="n"/>
      <c r="Q474" s="47" t="n"/>
      <c r="R474" s="48" t="n"/>
    </row>
    <row r="475" ht="14.25" customHeight="1" s="96">
      <c r="B475" s="44" t="n"/>
      <c r="C475" s="78" t="n"/>
      <c r="D475" s="46" t="n"/>
      <c r="E475" s="46" t="n"/>
      <c r="F475" s="46" t="n"/>
      <c r="G475" s="45" t="n"/>
      <c r="I475" s="44" t="n"/>
      <c r="J475" s="46" t="n"/>
      <c r="K475" s="46" t="n"/>
      <c r="L475" s="46" t="n"/>
      <c r="M475" s="46" t="n"/>
      <c r="N475" s="46" t="n"/>
      <c r="O475" s="46" t="n"/>
      <c r="P475" s="47" t="n"/>
      <c r="Q475" s="47" t="n"/>
      <c r="R475" s="48" t="n"/>
    </row>
    <row r="476" ht="14.25" customHeight="1" s="96">
      <c r="B476" s="44" t="n"/>
      <c r="C476" s="78" t="n"/>
      <c r="D476" s="46" t="n"/>
      <c r="E476" s="46" t="n"/>
      <c r="F476" s="46" t="n"/>
      <c r="G476" s="45" t="n"/>
      <c r="I476" s="44" t="n"/>
      <c r="J476" s="46" t="n"/>
      <c r="K476" s="46" t="n"/>
      <c r="L476" s="46" t="n"/>
      <c r="M476" s="46" t="n"/>
      <c r="N476" s="46" t="n"/>
      <c r="O476" s="46" t="n"/>
      <c r="P476" s="47" t="n"/>
      <c r="Q476" s="47" t="n"/>
      <c r="R476" s="48" t="n"/>
    </row>
    <row r="477" ht="14.25" customHeight="1" s="96">
      <c r="B477" s="44" t="n"/>
      <c r="C477" s="78" t="n"/>
      <c r="D477" s="46" t="n"/>
      <c r="E477" s="46" t="n"/>
      <c r="F477" s="46" t="n"/>
      <c r="G477" s="45" t="n"/>
      <c r="I477" s="44" t="n"/>
      <c r="J477" s="46" t="n"/>
      <c r="K477" s="46" t="n"/>
      <c r="L477" s="46" t="n"/>
      <c r="M477" s="46" t="n"/>
      <c r="N477" s="46" t="n"/>
      <c r="O477" s="46" t="n"/>
      <c r="P477" s="47" t="n"/>
      <c r="Q477" s="47" t="n"/>
      <c r="R477" s="48" t="n"/>
    </row>
    <row r="478" ht="14.25" customHeight="1" s="96">
      <c r="B478" s="44" t="n"/>
      <c r="C478" s="78" t="n"/>
      <c r="D478" s="46" t="n"/>
      <c r="E478" s="46" t="n"/>
      <c r="F478" s="46" t="n"/>
      <c r="G478" s="45" t="n"/>
      <c r="I478" s="44" t="n"/>
      <c r="J478" s="46" t="n"/>
      <c r="K478" s="46" t="n"/>
      <c r="L478" s="46" t="n"/>
      <c r="M478" s="46" t="n"/>
      <c r="N478" s="46" t="n"/>
      <c r="O478" s="46" t="n"/>
      <c r="P478" s="47" t="n"/>
      <c r="Q478" s="47" t="n"/>
      <c r="R478" s="48" t="n"/>
    </row>
    <row r="479" ht="14.25" customHeight="1" s="96">
      <c r="B479" s="44" t="n"/>
      <c r="C479" s="78" t="n"/>
      <c r="D479" s="46" t="n"/>
      <c r="E479" s="46" t="n"/>
      <c r="F479" s="46" t="n"/>
      <c r="G479" s="45" t="n"/>
      <c r="I479" s="44" t="n"/>
      <c r="J479" s="46" t="n"/>
      <c r="K479" s="46" t="n"/>
      <c r="L479" s="46" t="n"/>
      <c r="M479" s="46" t="n"/>
      <c r="N479" s="46" t="n"/>
      <c r="O479" s="46" t="n"/>
      <c r="P479" s="47" t="n"/>
      <c r="Q479" s="47" t="n"/>
      <c r="R479" s="48" t="n"/>
    </row>
    <row r="480" ht="14.25" customHeight="1" s="96">
      <c r="B480" s="44" t="n"/>
      <c r="C480" s="78" t="n"/>
      <c r="D480" s="46" t="n"/>
      <c r="E480" s="46" t="n"/>
      <c r="F480" s="46" t="n"/>
      <c r="G480" s="45" t="n"/>
      <c r="I480" s="44" t="n"/>
      <c r="J480" s="46" t="n"/>
      <c r="K480" s="46" t="n"/>
      <c r="L480" s="46" t="n"/>
      <c r="M480" s="46" t="n"/>
      <c r="N480" s="46" t="n"/>
      <c r="O480" s="46" t="n"/>
      <c r="P480" s="47" t="n"/>
      <c r="Q480" s="47" t="n"/>
      <c r="R480" s="48" t="n"/>
    </row>
    <row r="481" ht="14.25" customHeight="1" s="96">
      <c r="B481" s="44" t="n"/>
      <c r="C481" s="78" t="n"/>
      <c r="D481" s="46" t="n"/>
      <c r="E481" s="46" t="n"/>
      <c r="F481" s="46" t="n"/>
      <c r="G481" s="45" t="n"/>
      <c r="I481" s="44" t="n"/>
      <c r="J481" s="46" t="n"/>
      <c r="K481" s="46" t="n"/>
      <c r="L481" s="46" t="n"/>
      <c r="M481" s="46" t="n"/>
      <c r="N481" s="46" t="n"/>
      <c r="O481" s="46" t="n"/>
      <c r="P481" s="47" t="n"/>
      <c r="Q481" s="47" t="n"/>
      <c r="R481" s="48" t="n"/>
    </row>
    <row r="482" ht="14.25" customHeight="1" s="96">
      <c r="B482" s="44" t="n"/>
      <c r="C482" s="78" t="n"/>
      <c r="D482" s="46" t="n"/>
      <c r="E482" s="46" t="n"/>
      <c r="F482" s="46" t="n"/>
      <c r="G482" s="45" t="n"/>
      <c r="I482" s="44" t="n"/>
      <c r="J482" s="46" t="n"/>
      <c r="K482" s="46" t="n"/>
      <c r="L482" s="46" t="n"/>
      <c r="M482" s="46" t="n"/>
      <c r="N482" s="46" t="n"/>
      <c r="O482" s="46" t="n"/>
      <c r="P482" s="47" t="n"/>
      <c r="Q482" s="47" t="n"/>
      <c r="R482" s="48" t="n"/>
    </row>
    <row r="483" ht="14.25" customHeight="1" s="96">
      <c r="B483" s="44" t="n"/>
      <c r="C483" s="78" t="n"/>
      <c r="D483" s="46" t="n"/>
      <c r="E483" s="46" t="n"/>
      <c r="F483" s="46" t="n"/>
      <c r="G483" s="45" t="n"/>
      <c r="I483" s="44" t="n"/>
      <c r="J483" s="46" t="n"/>
      <c r="K483" s="46" t="n"/>
      <c r="L483" s="46" t="n"/>
      <c r="M483" s="46" t="n"/>
      <c r="N483" s="46" t="n"/>
      <c r="O483" s="46" t="n"/>
      <c r="P483" s="47" t="n"/>
      <c r="Q483" s="47" t="n"/>
      <c r="R483" s="48" t="n"/>
    </row>
    <row r="484" ht="14.25" customHeight="1" s="96">
      <c r="B484" s="87" t="n"/>
      <c r="C484" s="88" t="n"/>
      <c r="D484" s="89" t="n"/>
      <c r="E484" s="89" t="n"/>
      <c r="F484" s="89" t="n"/>
      <c r="G484" s="90" t="n"/>
      <c r="I484" s="87" t="n"/>
      <c r="J484" s="89" t="n"/>
      <c r="K484" s="89" t="n"/>
      <c r="L484" s="89" t="n"/>
      <c r="M484" s="89" t="n"/>
      <c r="N484" s="89" t="n"/>
      <c r="O484" s="89" t="n"/>
      <c r="P484" s="91" t="n"/>
      <c r="Q484" s="91" t="n"/>
      <c r="R484" s="92" t="n"/>
    </row>
    <row r="485" ht="14.25" customHeight="1" s="96">
      <c r="P485" s="3" t="n"/>
      <c r="Q485" s="3" t="n"/>
      <c r="R485" s="3" t="n"/>
    </row>
    <row r="486" ht="14.25" customHeight="1" s="96">
      <c r="P486" s="3" t="n"/>
      <c r="Q486" s="3" t="n"/>
      <c r="R486" s="3" t="n"/>
    </row>
    <row r="487" ht="14.25" customHeight="1" s="96">
      <c r="P487" s="3" t="n"/>
      <c r="Q487" s="3" t="n"/>
      <c r="R487" s="3" t="n"/>
    </row>
    <row r="488" ht="14.25" customHeight="1" s="96">
      <c r="P488" s="3" t="n"/>
      <c r="Q488" s="3" t="n"/>
      <c r="R488" s="3" t="n"/>
    </row>
    <row r="489" ht="14.25" customHeight="1" s="96">
      <c r="P489" s="3" t="n"/>
      <c r="Q489" s="3" t="n"/>
      <c r="R489" s="3" t="n"/>
    </row>
    <row r="490" ht="14.25" customHeight="1" s="96">
      <c r="P490" s="3" t="n"/>
      <c r="Q490" s="3" t="n"/>
      <c r="R490" s="3" t="n"/>
    </row>
    <row r="491" ht="14.25" customHeight="1" s="96">
      <c r="P491" s="3" t="n"/>
      <c r="Q491" s="3" t="n"/>
      <c r="R491" s="3" t="n"/>
    </row>
    <row r="492" ht="14.25" customHeight="1" s="96">
      <c r="P492" s="3" t="n"/>
      <c r="Q492" s="3" t="n"/>
      <c r="R492" s="3" t="n"/>
    </row>
    <row r="493" ht="14.25" customHeight="1" s="96">
      <c r="P493" s="3" t="n"/>
      <c r="Q493" s="3" t="n"/>
      <c r="R493" s="3" t="n"/>
    </row>
    <row r="494" ht="14.25" customHeight="1" s="96">
      <c r="P494" s="3" t="n"/>
      <c r="Q494" s="3" t="n"/>
      <c r="R494" s="3" t="n"/>
    </row>
    <row r="495" ht="14.25" customHeight="1" s="96">
      <c r="P495" s="3" t="n"/>
      <c r="Q495" s="3" t="n"/>
      <c r="R495" s="3" t="n"/>
    </row>
    <row r="496" ht="14.25" customHeight="1" s="96">
      <c r="P496" s="3" t="n"/>
      <c r="Q496" s="3" t="n"/>
      <c r="R496" s="3" t="n"/>
    </row>
    <row r="497" ht="14.25" customHeight="1" s="96">
      <c r="P497" s="3" t="n"/>
      <c r="Q497" s="3" t="n"/>
      <c r="R497" s="3" t="n"/>
    </row>
    <row r="498" ht="14.25" customHeight="1" s="96">
      <c r="P498" s="3" t="n"/>
      <c r="Q498" s="3" t="n"/>
      <c r="R498" s="3" t="n"/>
    </row>
    <row r="499" ht="14.25" customHeight="1" s="96">
      <c r="P499" s="3" t="n"/>
      <c r="Q499" s="3" t="n"/>
      <c r="R499" s="3" t="n"/>
    </row>
    <row r="500" ht="14.25" customHeight="1" s="96">
      <c r="P500" s="3" t="n"/>
      <c r="Q500" s="3" t="n"/>
      <c r="R500" s="3" t="n"/>
    </row>
    <row r="501" ht="14.25" customHeight="1" s="96">
      <c r="P501" s="3" t="n"/>
      <c r="Q501" s="3" t="n"/>
      <c r="R501" s="3" t="n"/>
    </row>
    <row r="502" ht="14.25" customHeight="1" s="96">
      <c r="P502" s="3" t="n"/>
      <c r="Q502" s="3" t="n"/>
      <c r="R502" s="3" t="n"/>
    </row>
    <row r="503" ht="14.25" customHeight="1" s="96">
      <c r="P503" s="3" t="n"/>
      <c r="Q503" s="3" t="n"/>
      <c r="R503" s="3" t="n"/>
    </row>
    <row r="504" ht="14.25" customHeight="1" s="96">
      <c r="P504" s="3" t="n"/>
      <c r="Q504" s="3" t="n"/>
      <c r="R504" s="3" t="n"/>
    </row>
    <row r="505" ht="14.25" customHeight="1" s="96">
      <c r="P505" s="3" t="n"/>
      <c r="Q505" s="3" t="n"/>
      <c r="R505" s="3" t="n"/>
    </row>
    <row r="506" ht="14.25" customHeight="1" s="96">
      <c r="P506" s="3" t="n"/>
      <c r="Q506" s="3" t="n"/>
      <c r="R506" s="3" t="n"/>
    </row>
    <row r="507" ht="14.25" customHeight="1" s="96">
      <c r="P507" s="3" t="n"/>
      <c r="Q507" s="3" t="n"/>
      <c r="R507" s="3" t="n"/>
    </row>
    <row r="508" ht="14.25" customHeight="1" s="96">
      <c r="P508" s="3" t="n"/>
      <c r="Q508" s="3" t="n"/>
      <c r="R508" s="3" t="n"/>
    </row>
    <row r="509" ht="14.25" customHeight="1" s="96">
      <c r="P509" s="3" t="n"/>
      <c r="Q509" s="3" t="n"/>
      <c r="R509" s="3" t="n"/>
    </row>
    <row r="510" ht="14.25" customHeight="1" s="96">
      <c r="P510" s="3" t="n"/>
      <c r="Q510" s="3" t="n"/>
      <c r="R510" s="3" t="n"/>
    </row>
    <row r="511" ht="14.25" customHeight="1" s="96">
      <c r="P511" s="3" t="n"/>
      <c r="Q511" s="3" t="n"/>
      <c r="R511" s="3" t="n"/>
    </row>
    <row r="512" ht="14.25" customHeight="1" s="96">
      <c r="P512" s="3" t="n"/>
      <c r="Q512" s="3" t="n"/>
      <c r="R512" s="3" t="n"/>
    </row>
    <row r="513" ht="14.25" customHeight="1" s="96">
      <c r="P513" s="3" t="n"/>
      <c r="Q513" s="3" t="n"/>
      <c r="R513" s="3" t="n"/>
    </row>
    <row r="514" ht="14.25" customHeight="1" s="96">
      <c r="P514" s="3" t="n"/>
      <c r="Q514" s="3" t="n"/>
      <c r="R514" s="3" t="n"/>
    </row>
    <row r="515" ht="14.25" customHeight="1" s="96">
      <c r="P515" s="3" t="n"/>
      <c r="Q515" s="3" t="n"/>
      <c r="R515" s="3" t="n"/>
    </row>
    <row r="516" ht="14.25" customHeight="1" s="96">
      <c r="P516" s="3" t="n"/>
      <c r="Q516" s="3" t="n"/>
      <c r="R516" s="3" t="n"/>
    </row>
    <row r="517" ht="14.25" customHeight="1" s="96">
      <c r="P517" s="3" t="n"/>
      <c r="Q517" s="3" t="n"/>
      <c r="R517" s="3" t="n"/>
    </row>
    <row r="518" ht="14.25" customHeight="1" s="96">
      <c r="P518" s="3" t="n"/>
      <c r="Q518" s="3" t="n"/>
      <c r="R518" s="3" t="n"/>
    </row>
    <row r="519" ht="14.25" customHeight="1" s="96">
      <c r="P519" s="3" t="n"/>
      <c r="Q519" s="3" t="n"/>
      <c r="R519" s="3" t="n"/>
    </row>
    <row r="520" ht="14.25" customHeight="1" s="96">
      <c r="P520" s="3" t="n"/>
      <c r="Q520" s="3" t="n"/>
      <c r="R520" s="3" t="n"/>
    </row>
    <row r="521" ht="14.25" customHeight="1" s="96">
      <c r="P521" s="3" t="n"/>
      <c r="Q521" s="3" t="n"/>
      <c r="R521" s="3" t="n"/>
    </row>
    <row r="522" ht="14.25" customHeight="1" s="96">
      <c r="P522" s="3" t="n"/>
      <c r="Q522" s="3" t="n"/>
      <c r="R522" s="3" t="n"/>
    </row>
    <row r="523" ht="14.25" customHeight="1" s="96">
      <c r="P523" s="3" t="n"/>
      <c r="Q523" s="3" t="n"/>
      <c r="R523" s="3" t="n"/>
    </row>
    <row r="524" ht="14.25" customHeight="1" s="96">
      <c r="P524" s="3" t="n"/>
      <c r="Q524" s="3" t="n"/>
      <c r="R524" s="3" t="n"/>
    </row>
    <row r="525" ht="14.25" customHeight="1" s="96">
      <c r="P525" s="3" t="n"/>
      <c r="Q525" s="3" t="n"/>
      <c r="R525" s="3" t="n"/>
    </row>
    <row r="526" ht="14.25" customHeight="1" s="96">
      <c r="P526" s="3" t="n"/>
      <c r="Q526" s="3" t="n"/>
      <c r="R526" s="3" t="n"/>
    </row>
    <row r="527" ht="14.25" customHeight="1" s="96">
      <c r="P527" s="3" t="n"/>
      <c r="Q527" s="3" t="n"/>
      <c r="R527" s="3" t="n"/>
    </row>
    <row r="528" ht="14.25" customHeight="1" s="96">
      <c r="P528" s="3" t="n"/>
      <c r="Q528" s="3" t="n"/>
      <c r="R528" s="3" t="n"/>
    </row>
    <row r="529" ht="14.25" customHeight="1" s="96">
      <c r="P529" s="3" t="n"/>
      <c r="Q529" s="3" t="n"/>
      <c r="R529" s="3" t="n"/>
    </row>
    <row r="530" ht="14.25" customHeight="1" s="96">
      <c r="P530" s="3" t="n"/>
      <c r="Q530" s="3" t="n"/>
      <c r="R530" s="3" t="n"/>
    </row>
    <row r="531" ht="14.25" customHeight="1" s="96">
      <c r="P531" s="3" t="n"/>
      <c r="Q531" s="3" t="n"/>
      <c r="R531" s="3" t="n"/>
    </row>
    <row r="532" ht="14.25" customHeight="1" s="96">
      <c r="P532" s="3" t="n"/>
      <c r="Q532" s="3" t="n"/>
      <c r="R532" s="3" t="n"/>
    </row>
    <row r="533" ht="14.25" customHeight="1" s="96">
      <c r="P533" s="3" t="n"/>
      <c r="Q533" s="3" t="n"/>
      <c r="R533" s="3" t="n"/>
    </row>
    <row r="534" ht="14.25" customHeight="1" s="96">
      <c r="P534" s="3" t="n"/>
      <c r="Q534" s="3" t="n"/>
      <c r="R534" s="3" t="n"/>
    </row>
    <row r="535" ht="14.25" customHeight="1" s="96">
      <c r="P535" s="3" t="n"/>
      <c r="Q535" s="3" t="n"/>
      <c r="R535" s="3" t="n"/>
    </row>
    <row r="536" ht="14.25" customHeight="1" s="96">
      <c r="P536" s="3" t="n"/>
      <c r="Q536" s="3" t="n"/>
      <c r="R536" s="3" t="n"/>
    </row>
    <row r="537" ht="14.25" customHeight="1" s="96">
      <c r="P537" s="3" t="n"/>
      <c r="Q537" s="3" t="n"/>
      <c r="R537" s="3" t="n"/>
    </row>
    <row r="538" ht="14.25" customHeight="1" s="96">
      <c r="P538" s="3" t="n"/>
      <c r="Q538" s="3" t="n"/>
      <c r="R538" s="3" t="n"/>
    </row>
    <row r="539" ht="14.25" customHeight="1" s="96">
      <c r="P539" s="3" t="n"/>
      <c r="Q539" s="3" t="n"/>
      <c r="R539" s="3" t="n"/>
    </row>
    <row r="540" ht="14.25" customHeight="1" s="96">
      <c r="P540" s="3" t="n"/>
      <c r="Q540" s="3" t="n"/>
      <c r="R540" s="3" t="n"/>
    </row>
    <row r="541" ht="14.25" customHeight="1" s="96">
      <c r="P541" s="3" t="n"/>
      <c r="Q541" s="3" t="n"/>
      <c r="R541" s="3" t="n"/>
    </row>
    <row r="542" ht="14.25" customHeight="1" s="96">
      <c r="P542" s="3" t="n"/>
      <c r="Q542" s="3" t="n"/>
      <c r="R542" s="3" t="n"/>
    </row>
    <row r="543" ht="14.25" customHeight="1" s="96">
      <c r="P543" s="3" t="n"/>
      <c r="Q543" s="3" t="n"/>
      <c r="R543" s="3" t="n"/>
    </row>
    <row r="544" ht="14.25" customHeight="1" s="96">
      <c r="P544" s="3" t="n"/>
      <c r="Q544" s="3" t="n"/>
      <c r="R544" s="3" t="n"/>
    </row>
    <row r="545" ht="14.25" customHeight="1" s="96">
      <c r="P545" s="3" t="n"/>
      <c r="Q545" s="3" t="n"/>
      <c r="R545" s="3" t="n"/>
    </row>
    <row r="546" ht="14.25" customHeight="1" s="96">
      <c r="P546" s="3" t="n"/>
      <c r="Q546" s="3" t="n"/>
      <c r="R546" s="3" t="n"/>
    </row>
    <row r="547" ht="14.25" customHeight="1" s="96">
      <c r="P547" s="3" t="n"/>
      <c r="Q547" s="3" t="n"/>
      <c r="R547" s="3" t="n"/>
    </row>
    <row r="548" ht="14.25" customHeight="1" s="96">
      <c r="P548" s="3" t="n"/>
      <c r="Q548" s="3" t="n"/>
      <c r="R548" s="3" t="n"/>
    </row>
    <row r="549" ht="14.25" customHeight="1" s="96">
      <c r="P549" s="3" t="n"/>
      <c r="Q549" s="3" t="n"/>
      <c r="R549" s="3" t="n"/>
    </row>
    <row r="550" ht="14.25" customHeight="1" s="96">
      <c r="P550" s="3" t="n"/>
      <c r="Q550" s="3" t="n"/>
      <c r="R550" s="3" t="n"/>
    </row>
    <row r="551" ht="14.25" customHeight="1" s="96">
      <c r="P551" s="3" t="n"/>
      <c r="Q551" s="3" t="n"/>
      <c r="R551" s="3" t="n"/>
    </row>
    <row r="552" ht="14.25" customHeight="1" s="96">
      <c r="P552" s="3" t="n"/>
      <c r="Q552" s="3" t="n"/>
      <c r="R552" s="3" t="n"/>
    </row>
    <row r="553" ht="14.25" customHeight="1" s="96">
      <c r="P553" s="3" t="n"/>
      <c r="Q553" s="3" t="n"/>
      <c r="R553" s="3" t="n"/>
    </row>
    <row r="554" ht="14.25" customHeight="1" s="96">
      <c r="P554" s="3" t="n"/>
      <c r="Q554" s="3" t="n"/>
      <c r="R554" s="3" t="n"/>
    </row>
    <row r="555" ht="14.25" customHeight="1" s="96">
      <c r="P555" s="3" t="n"/>
      <c r="Q555" s="3" t="n"/>
      <c r="R555" s="3" t="n"/>
    </row>
    <row r="556" ht="14.25" customHeight="1" s="96">
      <c r="P556" s="3" t="n"/>
      <c r="Q556" s="3" t="n"/>
      <c r="R556" s="3" t="n"/>
    </row>
    <row r="557" ht="14.25" customHeight="1" s="96">
      <c r="P557" s="3" t="n"/>
      <c r="Q557" s="3" t="n"/>
      <c r="R557" s="3" t="n"/>
    </row>
    <row r="558" ht="14.25" customHeight="1" s="96">
      <c r="P558" s="3" t="n"/>
      <c r="Q558" s="3" t="n"/>
      <c r="R558" s="3" t="n"/>
    </row>
    <row r="559" ht="14.25" customHeight="1" s="96">
      <c r="P559" s="3" t="n"/>
      <c r="Q559" s="3" t="n"/>
      <c r="R559" s="3" t="n"/>
    </row>
    <row r="560" ht="14.25" customHeight="1" s="96">
      <c r="P560" s="3" t="n"/>
      <c r="Q560" s="3" t="n"/>
      <c r="R560" s="3" t="n"/>
    </row>
    <row r="561" ht="14.25" customHeight="1" s="96">
      <c r="P561" s="3" t="n"/>
      <c r="Q561" s="3" t="n"/>
      <c r="R561" s="3" t="n"/>
    </row>
    <row r="562" ht="14.25" customHeight="1" s="96">
      <c r="P562" s="3" t="n"/>
      <c r="Q562" s="3" t="n"/>
      <c r="R562" s="3" t="n"/>
    </row>
    <row r="563" ht="14.25" customHeight="1" s="96">
      <c r="P563" s="3" t="n"/>
      <c r="Q563" s="3" t="n"/>
      <c r="R563" s="3" t="n"/>
    </row>
    <row r="564" ht="14.25" customHeight="1" s="96">
      <c r="P564" s="3" t="n"/>
      <c r="Q564" s="3" t="n"/>
      <c r="R564" s="3" t="n"/>
    </row>
    <row r="565" ht="14.25" customHeight="1" s="96">
      <c r="P565" s="3" t="n"/>
      <c r="Q565" s="3" t="n"/>
      <c r="R565" s="3" t="n"/>
    </row>
    <row r="566" ht="14.25" customHeight="1" s="96">
      <c r="P566" s="3" t="n"/>
      <c r="Q566" s="3" t="n"/>
      <c r="R566" s="3" t="n"/>
    </row>
    <row r="567" ht="14.25" customHeight="1" s="96">
      <c r="P567" s="3" t="n"/>
      <c r="Q567" s="3" t="n"/>
      <c r="R567" s="3" t="n"/>
    </row>
    <row r="568" ht="14.25" customHeight="1" s="96">
      <c r="P568" s="3" t="n"/>
      <c r="Q568" s="3" t="n"/>
      <c r="R568" s="3" t="n"/>
    </row>
    <row r="569" ht="14.25" customHeight="1" s="96">
      <c r="P569" s="3" t="n"/>
      <c r="Q569" s="3" t="n"/>
      <c r="R569" s="3" t="n"/>
    </row>
    <row r="570" ht="14.25" customHeight="1" s="96">
      <c r="P570" s="3" t="n"/>
      <c r="Q570" s="3" t="n"/>
      <c r="R570" s="3" t="n"/>
    </row>
    <row r="571" ht="14.25" customHeight="1" s="96">
      <c r="P571" s="3" t="n"/>
      <c r="Q571" s="3" t="n"/>
      <c r="R571" s="3" t="n"/>
    </row>
    <row r="572" ht="14.25" customHeight="1" s="96">
      <c r="P572" s="3" t="n"/>
      <c r="Q572" s="3" t="n"/>
      <c r="R572" s="3" t="n"/>
    </row>
    <row r="573" ht="14.25" customHeight="1" s="96">
      <c r="P573" s="3" t="n"/>
      <c r="Q573" s="3" t="n"/>
      <c r="R573" s="3" t="n"/>
    </row>
    <row r="574" ht="14.25" customHeight="1" s="96">
      <c r="P574" s="3" t="n"/>
      <c r="Q574" s="3" t="n"/>
      <c r="R574" s="3" t="n"/>
    </row>
    <row r="575" ht="14.25" customHeight="1" s="96">
      <c r="P575" s="3" t="n"/>
      <c r="Q575" s="3" t="n"/>
      <c r="R575" s="3" t="n"/>
    </row>
    <row r="576" ht="14.25" customHeight="1" s="96">
      <c r="P576" s="3" t="n"/>
      <c r="Q576" s="3" t="n"/>
      <c r="R576" s="3" t="n"/>
    </row>
    <row r="577" ht="14.25" customHeight="1" s="96">
      <c r="P577" s="3" t="n"/>
      <c r="Q577" s="3" t="n"/>
      <c r="R577" s="3" t="n"/>
    </row>
    <row r="578" ht="14.25" customHeight="1" s="96">
      <c r="P578" s="3" t="n"/>
      <c r="Q578" s="3" t="n"/>
      <c r="R578" s="3" t="n"/>
    </row>
    <row r="579" ht="14.25" customHeight="1" s="96">
      <c r="P579" s="3" t="n"/>
      <c r="Q579" s="3" t="n"/>
      <c r="R579" s="3" t="n"/>
    </row>
    <row r="580" ht="14.25" customHeight="1" s="96">
      <c r="P580" s="3" t="n"/>
      <c r="Q580" s="3" t="n"/>
      <c r="R580" s="3" t="n"/>
    </row>
    <row r="581" ht="14.25" customHeight="1" s="96">
      <c r="P581" s="3" t="n"/>
      <c r="Q581" s="3" t="n"/>
      <c r="R581" s="3" t="n"/>
    </row>
    <row r="582" ht="14.25" customHeight="1" s="96">
      <c r="P582" s="3" t="n"/>
      <c r="Q582" s="3" t="n"/>
      <c r="R582" s="3" t="n"/>
    </row>
    <row r="583" ht="14.25" customHeight="1" s="96">
      <c r="P583" s="3" t="n"/>
      <c r="Q583" s="3" t="n"/>
      <c r="R583" s="3" t="n"/>
    </row>
    <row r="584" ht="14.25" customHeight="1" s="96">
      <c r="P584" s="3" t="n"/>
      <c r="Q584" s="3" t="n"/>
      <c r="R584" s="3" t="n"/>
    </row>
    <row r="585" ht="14.25" customHeight="1" s="96">
      <c r="P585" s="3" t="n"/>
      <c r="Q585" s="3" t="n"/>
      <c r="R585" s="3" t="n"/>
    </row>
    <row r="586" ht="14.25" customHeight="1" s="96">
      <c r="P586" s="3" t="n"/>
      <c r="Q586" s="3" t="n"/>
      <c r="R586" s="3" t="n"/>
    </row>
    <row r="587" ht="14.25" customHeight="1" s="96">
      <c r="P587" s="3" t="n"/>
      <c r="Q587" s="3" t="n"/>
      <c r="R587" s="3" t="n"/>
    </row>
    <row r="588" ht="14.25" customHeight="1" s="96">
      <c r="P588" s="3" t="n"/>
      <c r="Q588" s="3" t="n"/>
      <c r="R588" s="3" t="n"/>
    </row>
    <row r="589" ht="14.25" customHeight="1" s="96">
      <c r="P589" s="3" t="n"/>
      <c r="Q589" s="3" t="n"/>
      <c r="R589" s="3" t="n"/>
    </row>
    <row r="590" ht="14.25" customHeight="1" s="96">
      <c r="P590" s="3" t="n"/>
      <c r="Q590" s="3" t="n"/>
      <c r="R590" s="3" t="n"/>
    </row>
    <row r="591" ht="14.25" customHeight="1" s="96">
      <c r="P591" s="3" t="n"/>
      <c r="Q591" s="3" t="n"/>
      <c r="R591" s="3" t="n"/>
    </row>
    <row r="592" ht="14.25" customHeight="1" s="96">
      <c r="P592" s="3" t="n"/>
      <c r="Q592" s="3" t="n"/>
      <c r="R592" s="3" t="n"/>
    </row>
    <row r="593" ht="14.25" customHeight="1" s="96">
      <c r="P593" s="3" t="n"/>
      <c r="Q593" s="3" t="n"/>
      <c r="R593" s="3" t="n"/>
    </row>
    <row r="594" ht="14.25" customHeight="1" s="96">
      <c r="P594" s="3" t="n"/>
      <c r="Q594" s="3" t="n"/>
      <c r="R594" s="3" t="n"/>
    </row>
    <row r="595" ht="14.25" customHeight="1" s="96">
      <c r="P595" s="3" t="n"/>
      <c r="Q595" s="3" t="n"/>
      <c r="R595" s="3" t="n"/>
    </row>
    <row r="596" ht="14.25" customHeight="1" s="96">
      <c r="P596" s="3" t="n"/>
      <c r="Q596" s="3" t="n"/>
      <c r="R596" s="3" t="n"/>
    </row>
    <row r="597" ht="14.25" customHeight="1" s="96">
      <c r="P597" s="3" t="n"/>
      <c r="Q597" s="3" t="n"/>
      <c r="R597" s="3" t="n"/>
    </row>
    <row r="598" ht="14.25" customHeight="1" s="96">
      <c r="P598" s="3" t="n"/>
      <c r="Q598" s="3" t="n"/>
      <c r="R598" s="3" t="n"/>
    </row>
    <row r="599" ht="14.25" customHeight="1" s="96">
      <c r="P599" s="3" t="n"/>
      <c r="Q599" s="3" t="n"/>
      <c r="R599" s="3" t="n"/>
    </row>
    <row r="600" ht="14.25" customHeight="1" s="96">
      <c r="P600" s="3" t="n"/>
      <c r="Q600" s="3" t="n"/>
      <c r="R600" s="3" t="n"/>
    </row>
    <row r="601" ht="14.25" customHeight="1" s="96">
      <c r="P601" s="3" t="n"/>
      <c r="Q601" s="3" t="n"/>
      <c r="R601" s="3" t="n"/>
    </row>
    <row r="602" ht="14.25" customHeight="1" s="96">
      <c r="P602" s="3" t="n"/>
      <c r="Q602" s="3" t="n"/>
      <c r="R602" s="3" t="n"/>
    </row>
    <row r="603" ht="14.25" customHeight="1" s="96">
      <c r="P603" s="3" t="n"/>
      <c r="Q603" s="3" t="n"/>
      <c r="R603" s="3" t="n"/>
    </row>
    <row r="604" ht="14.25" customHeight="1" s="96">
      <c r="P604" s="3" t="n"/>
      <c r="Q604" s="3" t="n"/>
      <c r="R604" s="3" t="n"/>
    </row>
    <row r="605" ht="14.25" customHeight="1" s="96">
      <c r="P605" s="3" t="n"/>
      <c r="Q605" s="3" t="n"/>
      <c r="R605" s="3" t="n"/>
    </row>
    <row r="606" ht="14.25" customHeight="1" s="96">
      <c r="P606" s="3" t="n"/>
      <c r="Q606" s="3" t="n"/>
      <c r="R606" s="3" t="n"/>
    </row>
    <row r="607" ht="14.25" customHeight="1" s="96">
      <c r="P607" s="3" t="n"/>
      <c r="Q607" s="3" t="n"/>
      <c r="R607" s="3" t="n"/>
    </row>
    <row r="608" ht="14.25" customHeight="1" s="96">
      <c r="P608" s="3" t="n"/>
      <c r="Q608" s="3" t="n"/>
      <c r="R608" s="3" t="n"/>
    </row>
    <row r="609" ht="14.25" customHeight="1" s="96">
      <c r="P609" s="3" t="n"/>
      <c r="Q609" s="3" t="n"/>
      <c r="R609" s="3" t="n"/>
    </row>
    <row r="610" ht="14.25" customHeight="1" s="96">
      <c r="P610" s="3" t="n"/>
      <c r="Q610" s="3" t="n"/>
      <c r="R610" s="3" t="n"/>
    </row>
    <row r="611" ht="14.25" customHeight="1" s="96">
      <c r="P611" s="3" t="n"/>
      <c r="Q611" s="3" t="n"/>
      <c r="R611" s="3" t="n"/>
    </row>
    <row r="612" ht="14.25" customHeight="1" s="96">
      <c r="P612" s="3" t="n"/>
      <c r="Q612" s="3" t="n"/>
      <c r="R612" s="3" t="n"/>
    </row>
    <row r="613" ht="14.25" customHeight="1" s="96">
      <c r="P613" s="3" t="n"/>
      <c r="Q613" s="3" t="n"/>
      <c r="R613" s="3" t="n"/>
    </row>
    <row r="614" ht="14.25" customHeight="1" s="96">
      <c r="P614" s="3" t="n"/>
      <c r="Q614" s="3" t="n"/>
      <c r="R614" s="3" t="n"/>
    </row>
    <row r="615" ht="14.25" customHeight="1" s="96">
      <c r="P615" s="3" t="n"/>
      <c r="Q615" s="3" t="n"/>
      <c r="R615" s="3" t="n"/>
    </row>
    <row r="616" ht="14.25" customHeight="1" s="96">
      <c r="P616" s="3" t="n"/>
      <c r="Q616" s="3" t="n"/>
      <c r="R616" s="3" t="n"/>
    </row>
    <row r="617" ht="14.25" customHeight="1" s="96">
      <c r="P617" s="3" t="n"/>
      <c r="Q617" s="3" t="n"/>
      <c r="R617" s="3" t="n"/>
    </row>
    <row r="618" ht="14.25" customHeight="1" s="96">
      <c r="P618" s="3" t="n"/>
      <c r="Q618" s="3" t="n"/>
      <c r="R618" s="3" t="n"/>
    </row>
    <row r="619" ht="14.25" customHeight="1" s="96">
      <c r="P619" s="3" t="n"/>
      <c r="Q619" s="3" t="n"/>
      <c r="R619" s="3" t="n"/>
    </row>
    <row r="620" ht="14.25" customHeight="1" s="96">
      <c r="P620" s="3" t="n"/>
      <c r="Q620" s="3" t="n"/>
      <c r="R620" s="3" t="n"/>
    </row>
    <row r="621" ht="14.25" customHeight="1" s="96">
      <c r="P621" s="3" t="n"/>
      <c r="Q621" s="3" t="n"/>
      <c r="R621" s="3" t="n"/>
    </row>
    <row r="622" ht="14.25" customHeight="1" s="96">
      <c r="P622" s="3" t="n"/>
      <c r="Q622" s="3" t="n"/>
      <c r="R622" s="3" t="n"/>
    </row>
    <row r="623" ht="14.25" customHeight="1" s="96">
      <c r="P623" s="3" t="n"/>
      <c r="Q623" s="3" t="n"/>
      <c r="R623" s="3" t="n"/>
    </row>
    <row r="624" ht="14.25" customHeight="1" s="96">
      <c r="P624" s="3" t="n"/>
      <c r="Q624" s="3" t="n"/>
      <c r="R624" s="3" t="n"/>
    </row>
    <row r="625" ht="14.25" customHeight="1" s="96">
      <c r="P625" s="3" t="n"/>
      <c r="Q625" s="3" t="n"/>
      <c r="R625" s="3" t="n"/>
    </row>
    <row r="626" ht="14.25" customHeight="1" s="96">
      <c r="P626" s="3" t="n"/>
      <c r="Q626" s="3" t="n"/>
      <c r="R626" s="3" t="n"/>
    </row>
    <row r="627" ht="14.25" customHeight="1" s="96">
      <c r="P627" s="3" t="n"/>
      <c r="Q627" s="3" t="n"/>
      <c r="R627" s="3" t="n"/>
    </row>
    <row r="628" ht="14.25" customHeight="1" s="96">
      <c r="P628" s="3" t="n"/>
      <c r="Q628" s="3" t="n"/>
      <c r="R628" s="3" t="n"/>
    </row>
    <row r="629" ht="14.25" customHeight="1" s="96">
      <c r="P629" s="3" t="n"/>
      <c r="Q629" s="3" t="n"/>
      <c r="R629" s="3" t="n"/>
    </row>
    <row r="630" ht="14.25" customHeight="1" s="96">
      <c r="P630" s="3" t="n"/>
      <c r="Q630" s="3" t="n"/>
      <c r="R630" s="3" t="n"/>
    </row>
    <row r="631" ht="14.25" customHeight="1" s="96">
      <c r="P631" s="3" t="n"/>
      <c r="Q631" s="3" t="n"/>
      <c r="R631" s="3" t="n"/>
    </row>
    <row r="632" ht="14.25" customHeight="1" s="96">
      <c r="P632" s="3" t="n"/>
      <c r="Q632" s="3" t="n"/>
      <c r="R632" s="3" t="n"/>
    </row>
    <row r="633" ht="14.25" customHeight="1" s="96">
      <c r="P633" s="3" t="n"/>
      <c r="Q633" s="3" t="n"/>
      <c r="R633" s="3" t="n"/>
    </row>
    <row r="634" ht="14.25" customHeight="1" s="96">
      <c r="P634" s="3" t="n"/>
      <c r="Q634" s="3" t="n"/>
      <c r="R634" s="3" t="n"/>
    </row>
    <row r="635" ht="14.25" customHeight="1" s="96">
      <c r="P635" s="3" t="n"/>
      <c r="Q635" s="3" t="n"/>
      <c r="R635" s="3" t="n"/>
    </row>
    <row r="636" ht="14.25" customHeight="1" s="96">
      <c r="P636" s="3" t="n"/>
      <c r="Q636" s="3" t="n"/>
      <c r="R636" s="3" t="n"/>
    </row>
    <row r="637" ht="14.25" customHeight="1" s="96">
      <c r="P637" s="3" t="n"/>
      <c r="Q637" s="3" t="n"/>
      <c r="R637" s="3" t="n"/>
    </row>
    <row r="638" ht="14.25" customHeight="1" s="96">
      <c r="P638" s="3" t="n"/>
      <c r="Q638" s="3" t="n"/>
      <c r="R638" s="3" t="n"/>
    </row>
    <row r="639" ht="14.25" customHeight="1" s="96">
      <c r="P639" s="3" t="n"/>
      <c r="Q639" s="3" t="n"/>
      <c r="R639" s="3" t="n"/>
    </row>
    <row r="640" ht="14.25" customHeight="1" s="96">
      <c r="P640" s="3" t="n"/>
      <c r="Q640" s="3" t="n"/>
      <c r="R640" s="3" t="n"/>
    </row>
    <row r="641" ht="14.25" customHeight="1" s="96">
      <c r="P641" s="3" t="n"/>
      <c r="Q641" s="3" t="n"/>
      <c r="R641" s="3" t="n"/>
    </row>
    <row r="642" ht="14.25" customHeight="1" s="96">
      <c r="P642" s="3" t="n"/>
      <c r="Q642" s="3" t="n"/>
      <c r="R642" s="3" t="n"/>
    </row>
    <row r="643" ht="14.25" customHeight="1" s="96">
      <c r="P643" s="3" t="n"/>
      <c r="Q643" s="3" t="n"/>
      <c r="R643" s="3" t="n"/>
    </row>
    <row r="644" ht="14.25" customHeight="1" s="96">
      <c r="P644" s="3" t="n"/>
      <c r="Q644" s="3" t="n"/>
      <c r="R644" s="3" t="n"/>
    </row>
    <row r="645" ht="14.25" customHeight="1" s="96">
      <c r="P645" s="3" t="n"/>
      <c r="Q645" s="3" t="n"/>
      <c r="R645" s="3" t="n"/>
    </row>
    <row r="646" ht="14.25" customHeight="1" s="96">
      <c r="P646" s="3" t="n"/>
      <c r="Q646" s="3" t="n"/>
      <c r="R646" s="3" t="n"/>
    </row>
    <row r="647" ht="14.25" customHeight="1" s="96">
      <c r="P647" s="3" t="n"/>
      <c r="Q647" s="3" t="n"/>
      <c r="R647" s="3" t="n"/>
    </row>
    <row r="648" ht="14.25" customHeight="1" s="96">
      <c r="P648" s="3" t="n"/>
      <c r="Q648" s="3" t="n"/>
      <c r="R648" s="3" t="n"/>
    </row>
    <row r="649" ht="14.25" customHeight="1" s="96">
      <c r="P649" s="3" t="n"/>
      <c r="Q649" s="3" t="n"/>
      <c r="R649" s="3" t="n"/>
    </row>
    <row r="650" ht="14.25" customHeight="1" s="96">
      <c r="P650" s="3" t="n"/>
      <c r="Q650" s="3" t="n"/>
      <c r="R650" s="3" t="n"/>
    </row>
    <row r="651" ht="14.25" customHeight="1" s="96">
      <c r="P651" s="3" t="n"/>
      <c r="Q651" s="3" t="n"/>
      <c r="R651" s="3" t="n"/>
    </row>
    <row r="652" ht="14.25" customHeight="1" s="96">
      <c r="P652" s="3" t="n"/>
      <c r="Q652" s="3" t="n"/>
      <c r="R652" s="3" t="n"/>
    </row>
    <row r="653" ht="14.25" customHeight="1" s="96">
      <c r="P653" s="3" t="n"/>
      <c r="Q653" s="3" t="n"/>
      <c r="R653" s="3" t="n"/>
    </row>
    <row r="654" ht="14.25" customHeight="1" s="96">
      <c r="P654" s="3" t="n"/>
      <c r="Q654" s="3" t="n"/>
      <c r="R654" s="3" t="n"/>
    </row>
    <row r="655" ht="14.25" customHeight="1" s="96">
      <c r="P655" s="3" t="n"/>
      <c r="Q655" s="3" t="n"/>
      <c r="R655" s="3" t="n"/>
    </row>
    <row r="656" ht="14.25" customHeight="1" s="96">
      <c r="P656" s="3" t="n"/>
      <c r="Q656" s="3" t="n"/>
      <c r="R656" s="3" t="n"/>
    </row>
    <row r="657" ht="14.25" customHeight="1" s="96">
      <c r="P657" s="3" t="n"/>
      <c r="Q657" s="3" t="n"/>
      <c r="R657" s="3" t="n"/>
    </row>
    <row r="658" ht="14.25" customHeight="1" s="96">
      <c r="P658" s="3" t="n"/>
      <c r="Q658" s="3" t="n"/>
      <c r="R658" s="3" t="n"/>
    </row>
    <row r="659" ht="14.25" customHeight="1" s="96">
      <c r="P659" s="3" t="n"/>
      <c r="Q659" s="3" t="n"/>
      <c r="R659" s="3" t="n"/>
    </row>
    <row r="660" ht="14.25" customHeight="1" s="96">
      <c r="P660" s="3" t="n"/>
      <c r="Q660" s="3" t="n"/>
      <c r="R660" s="3" t="n"/>
    </row>
    <row r="661" ht="14.25" customHeight="1" s="96">
      <c r="P661" s="3" t="n"/>
      <c r="Q661" s="3" t="n"/>
      <c r="R661" s="3" t="n"/>
    </row>
    <row r="662" ht="14.25" customHeight="1" s="96">
      <c r="P662" s="3" t="n"/>
      <c r="Q662" s="3" t="n"/>
      <c r="R662" s="3" t="n"/>
    </row>
    <row r="663" ht="14.25" customHeight="1" s="96">
      <c r="P663" s="3" t="n"/>
      <c r="Q663" s="3" t="n"/>
      <c r="R663" s="3" t="n"/>
    </row>
    <row r="664" ht="14.25" customHeight="1" s="96">
      <c r="P664" s="3" t="n"/>
      <c r="Q664" s="3" t="n"/>
      <c r="R664" s="3" t="n"/>
    </row>
    <row r="665" ht="14.25" customHeight="1" s="96">
      <c r="P665" s="3" t="n"/>
      <c r="Q665" s="3" t="n"/>
      <c r="R665" s="3" t="n"/>
    </row>
    <row r="666" ht="14.25" customHeight="1" s="96">
      <c r="P666" s="3" t="n"/>
      <c r="Q666" s="3" t="n"/>
      <c r="R666" s="3" t="n"/>
    </row>
    <row r="667" ht="14.25" customHeight="1" s="96">
      <c r="P667" s="3" t="n"/>
      <c r="Q667" s="3" t="n"/>
      <c r="R667" s="3" t="n"/>
    </row>
    <row r="668" ht="14.25" customHeight="1" s="96">
      <c r="P668" s="3" t="n"/>
      <c r="Q668" s="3" t="n"/>
      <c r="R668" s="3" t="n"/>
    </row>
    <row r="669" ht="14.25" customHeight="1" s="96">
      <c r="P669" s="3" t="n"/>
      <c r="Q669" s="3" t="n"/>
      <c r="R669" s="3" t="n"/>
    </row>
    <row r="670" ht="14.25" customHeight="1" s="96">
      <c r="P670" s="3" t="n"/>
      <c r="Q670" s="3" t="n"/>
      <c r="R670" s="3" t="n"/>
    </row>
    <row r="671" ht="14.25" customHeight="1" s="96">
      <c r="P671" s="3" t="n"/>
      <c r="Q671" s="3" t="n"/>
      <c r="R671" s="3" t="n"/>
    </row>
    <row r="672" ht="14.25" customHeight="1" s="96">
      <c r="P672" s="3" t="n"/>
      <c r="Q672" s="3" t="n"/>
      <c r="R672" s="3" t="n"/>
    </row>
    <row r="673" ht="14.25" customHeight="1" s="96">
      <c r="P673" s="3" t="n"/>
      <c r="Q673" s="3" t="n"/>
      <c r="R673" s="3" t="n"/>
    </row>
    <row r="674" ht="14.25" customHeight="1" s="96">
      <c r="P674" s="3" t="n"/>
      <c r="Q674" s="3" t="n"/>
      <c r="R674" s="3" t="n"/>
    </row>
    <row r="675" ht="14.25" customHeight="1" s="96">
      <c r="P675" s="3" t="n"/>
      <c r="Q675" s="3" t="n"/>
      <c r="R675" s="3" t="n"/>
    </row>
    <row r="676" ht="14.25" customHeight="1" s="96">
      <c r="P676" s="3" t="n"/>
      <c r="Q676" s="3" t="n"/>
      <c r="R676" s="3" t="n"/>
    </row>
    <row r="677" ht="14.25" customHeight="1" s="96">
      <c r="P677" s="3" t="n"/>
      <c r="Q677" s="3" t="n"/>
      <c r="R677" s="3" t="n"/>
    </row>
    <row r="678" ht="14.25" customHeight="1" s="96">
      <c r="P678" s="3" t="n"/>
      <c r="Q678" s="3" t="n"/>
      <c r="R678" s="3" t="n"/>
    </row>
    <row r="679" ht="14.25" customHeight="1" s="96">
      <c r="P679" s="3" t="n"/>
      <c r="Q679" s="3" t="n"/>
      <c r="R679" s="3" t="n"/>
    </row>
    <row r="680" ht="14.25" customHeight="1" s="96">
      <c r="P680" s="3" t="n"/>
      <c r="Q680" s="3" t="n"/>
      <c r="R680" s="3" t="n"/>
    </row>
    <row r="681" ht="14.25" customHeight="1" s="96">
      <c r="P681" s="3" t="n"/>
      <c r="Q681" s="3" t="n"/>
      <c r="R681" s="3" t="n"/>
    </row>
    <row r="682" ht="14.25" customHeight="1" s="96">
      <c r="P682" s="3" t="n"/>
      <c r="Q682" s="3" t="n"/>
      <c r="R682" s="3" t="n"/>
    </row>
    <row r="683" ht="14.25" customHeight="1" s="96">
      <c r="P683" s="3" t="n"/>
      <c r="Q683" s="3" t="n"/>
      <c r="R683" s="3" t="n"/>
    </row>
    <row r="684" ht="14.25" customHeight="1" s="96">
      <c r="P684" s="3" t="n"/>
      <c r="Q684" s="3" t="n"/>
      <c r="R684" s="3" t="n"/>
    </row>
    <row r="685" ht="14.25" customHeight="1" s="96">
      <c r="P685" s="3" t="n"/>
      <c r="Q685" s="3" t="n"/>
      <c r="R685" s="3" t="n"/>
    </row>
    <row r="686" ht="14.25" customHeight="1" s="96">
      <c r="P686" s="3" t="n"/>
      <c r="Q686" s="3" t="n"/>
      <c r="R686" s="3" t="n"/>
    </row>
    <row r="687" ht="14.25" customHeight="1" s="96">
      <c r="P687" s="3" t="n"/>
      <c r="Q687" s="3" t="n"/>
      <c r="R687" s="3" t="n"/>
    </row>
    <row r="688" ht="14.25" customHeight="1" s="96">
      <c r="P688" s="3" t="n"/>
      <c r="Q688" s="3" t="n"/>
      <c r="R688" s="3" t="n"/>
    </row>
    <row r="689" ht="14.25" customHeight="1" s="96">
      <c r="P689" s="3" t="n"/>
      <c r="Q689" s="3" t="n"/>
      <c r="R689" s="3" t="n"/>
    </row>
    <row r="690" ht="14.25" customHeight="1" s="96">
      <c r="P690" s="3" t="n"/>
      <c r="Q690" s="3" t="n"/>
      <c r="R690" s="3" t="n"/>
    </row>
    <row r="691" ht="14.25" customHeight="1" s="96">
      <c r="P691" s="3" t="n"/>
      <c r="Q691" s="3" t="n"/>
      <c r="R691" s="3" t="n"/>
    </row>
    <row r="692" ht="14.25" customHeight="1" s="96">
      <c r="P692" s="3" t="n"/>
      <c r="Q692" s="3" t="n"/>
      <c r="R692" s="3" t="n"/>
    </row>
    <row r="693" ht="14.25" customHeight="1" s="96">
      <c r="P693" s="3" t="n"/>
      <c r="Q693" s="3" t="n"/>
      <c r="R693" s="3" t="n"/>
    </row>
    <row r="694" ht="14.25" customHeight="1" s="96">
      <c r="P694" s="3" t="n"/>
      <c r="Q694" s="3" t="n"/>
      <c r="R694" s="3" t="n"/>
    </row>
    <row r="695" ht="14.25" customHeight="1" s="96">
      <c r="P695" s="3" t="n"/>
      <c r="Q695" s="3" t="n"/>
      <c r="R695" s="3" t="n"/>
    </row>
    <row r="696" ht="14.25" customHeight="1" s="96">
      <c r="P696" s="3" t="n"/>
      <c r="Q696" s="3" t="n"/>
      <c r="R696" s="3" t="n"/>
    </row>
    <row r="697" ht="14.25" customHeight="1" s="96">
      <c r="P697" s="3" t="n"/>
      <c r="Q697" s="3" t="n"/>
      <c r="R697" s="3" t="n"/>
    </row>
    <row r="698" ht="14.25" customHeight="1" s="96">
      <c r="P698" s="3" t="n"/>
      <c r="Q698" s="3" t="n"/>
      <c r="R698" s="3" t="n"/>
    </row>
    <row r="699" ht="14.25" customHeight="1" s="96">
      <c r="P699" s="3" t="n"/>
      <c r="Q699" s="3" t="n"/>
      <c r="R699" s="3" t="n"/>
    </row>
    <row r="700" ht="14.25" customHeight="1" s="96">
      <c r="P700" s="3" t="n"/>
      <c r="Q700" s="3" t="n"/>
      <c r="R700" s="3" t="n"/>
    </row>
    <row r="701" ht="14.25" customHeight="1" s="96">
      <c r="P701" s="3" t="n"/>
      <c r="Q701" s="3" t="n"/>
      <c r="R701" s="3" t="n"/>
    </row>
    <row r="702" ht="14.25" customHeight="1" s="96">
      <c r="P702" s="3" t="n"/>
      <c r="Q702" s="3" t="n"/>
      <c r="R702" s="3" t="n"/>
    </row>
    <row r="703" ht="14.25" customHeight="1" s="96">
      <c r="P703" s="3" t="n"/>
      <c r="Q703" s="3" t="n"/>
      <c r="R703" s="3" t="n"/>
    </row>
    <row r="704" ht="14.25" customHeight="1" s="96">
      <c r="P704" s="3" t="n"/>
      <c r="Q704" s="3" t="n"/>
      <c r="R704" s="3" t="n"/>
    </row>
    <row r="705" ht="14.25" customHeight="1" s="96">
      <c r="P705" s="3" t="n"/>
      <c r="Q705" s="3" t="n"/>
      <c r="R705" s="3" t="n"/>
    </row>
    <row r="706" ht="14.25" customHeight="1" s="96">
      <c r="P706" s="3" t="n"/>
      <c r="Q706" s="3" t="n"/>
      <c r="R706" s="3" t="n"/>
    </row>
    <row r="707" ht="14.25" customHeight="1" s="96">
      <c r="P707" s="3" t="n"/>
      <c r="Q707" s="3" t="n"/>
      <c r="R707" s="3" t="n"/>
    </row>
    <row r="708" ht="14.25" customHeight="1" s="96">
      <c r="P708" s="3" t="n"/>
      <c r="Q708" s="3" t="n"/>
      <c r="R708" s="3" t="n"/>
    </row>
    <row r="709" ht="14.25" customHeight="1" s="96">
      <c r="P709" s="3" t="n"/>
      <c r="Q709" s="3" t="n"/>
      <c r="R709" s="3" t="n"/>
    </row>
    <row r="710" ht="14.25" customHeight="1" s="96">
      <c r="P710" s="3" t="n"/>
      <c r="Q710" s="3" t="n"/>
      <c r="R710" s="3" t="n"/>
    </row>
    <row r="711" ht="14.25" customHeight="1" s="96">
      <c r="P711" s="3" t="n"/>
      <c r="Q711" s="3" t="n"/>
      <c r="R711" s="3" t="n"/>
    </row>
    <row r="712" ht="14.25" customHeight="1" s="96">
      <c r="P712" s="3" t="n"/>
      <c r="Q712" s="3" t="n"/>
      <c r="R712" s="3" t="n"/>
    </row>
    <row r="713" ht="14.25" customHeight="1" s="96">
      <c r="P713" s="3" t="n"/>
      <c r="Q713" s="3" t="n"/>
      <c r="R713" s="3" t="n"/>
    </row>
    <row r="714" ht="14.25" customHeight="1" s="96">
      <c r="P714" s="3" t="n"/>
      <c r="Q714" s="3" t="n"/>
      <c r="R714" s="3" t="n"/>
    </row>
    <row r="715" ht="14.25" customHeight="1" s="96">
      <c r="P715" s="3" t="n"/>
      <c r="Q715" s="3" t="n"/>
      <c r="R715" s="3" t="n"/>
    </row>
    <row r="716" ht="14.25" customHeight="1" s="96">
      <c r="P716" s="3" t="n"/>
      <c r="Q716" s="3" t="n"/>
      <c r="R716" s="3" t="n"/>
    </row>
    <row r="717" ht="14.25" customHeight="1" s="96">
      <c r="P717" s="3" t="n"/>
      <c r="Q717" s="3" t="n"/>
      <c r="R717" s="3" t="n"/>
    </row>
    <row r="718" ht="14.25" customHeight="1" s="96">
      <c r="P718" s="3" t="n"/>
      <c r="Q718" s="3" t="n"/>
      <c r="R718" s="3" t="n"/>
    </row>
    <row r="719" ht="14.25" customHeight="1" s="96">
      <c r="P719" s="3" t="n"/>
      <c r="Q719" s="3" t="n"/>
      <c r="R719" s="3" t="n"/>
    </row>
    <row r="720" ht="14.25" customHeight="1" s="96">
      <c r="P720" s="3" t="n"/>
      <c r="Q720" s="3" t="n"/>
      <c r="R720" s="3" t="n"/>
    </row>
    <row r="721" ht="14.25" customHeight="1" s="96">
      <c r="P721" s="3" t="n"/>
      <c r="Q721" s="3" t="n"/>
      <c r="R721" s="3" t="n"/>
    </row>
    <row r="722" ht="14.25" customHeight="1" s="96">
      <c r="P722" s="3" t="n"/>
      <c r="Q722" s="3" t="n"/>
      <c r="R722" s="3" t="n"/>
    </row>
    <row r="723" ht="14.25" customHeight="1" s="96">
      <c r="P723" s="3" t="n"/>
      <c r="Q723" s="3" t="n"/>
      <c r="R723" s="3" t="n"/>
    </row>
    <row r="724" ht="14.25" customHeight="1" s="96">
      <c r="P724" s="3" t="n"/>
      <c r="Q724" s="3" t="n"/>
      <c r="R724" s="3" t="n"/>
    </row>
    <row r="725" ht="14.25" customHeight="1" s="96">
      <c r="P725" s="3" t="n"/>
      <c r="Q725" s="3" t="n"/>
      <c r="R725" s="3" t="n"/>
    </row>
    <row r="726" ht="14.25" customHeight="1" s="96">
      <c r="P726" s="3" t="n"/>
      <c r="Q726" s="3" t="n"/>
      <c r="R726" s="3" t="n"/>
    </row>
    <row r="727" ht="14.25" customHeight="1" s="96">
      <c r="P727" s="3" t="n"/>
      <c r="Q727" s="3" t="n"/>
      <c r="R727" s="3" t="n"/>
    </row>
    <row r="728" ht="14.25" customHeight="1" s="96">
      <c r="P728" s="3" t="n"/>
      <c r="Q728" s="3" t="n"/>
      <c r="R728" s="3" t="n"/>
    </row>
    <row r="729" ht="14.25" customHeight="1" s="96">
      <c r="P729" s="3" t="n"/>
      <c r="Q729" s="3" t="n"/>
      <c r="R729" s="3" t="n"/>
    </row>
    <row r="730" ht="14.25" customHeight="1" s="96">
      <c r="P730" s="3" t="n"/>
      <c r="Q730" s="3" t="n"/>
      <c r="R730" s="3" t="n"/>
    </row>
    <row r="731" ht="14.25" customHeight="1" s="96">
      <c r="P731" s="3" t="n"/>
      <c r="Q731" s="3" t="n"/>
      <c r="R731" s="3" t="n"/>
    </row>
    <row r="732" ht="14.25" customHeight="1" s="96">
      <c r="P732" s="3" t="n"/>
      <c r="Q732" s="3" t="n"/>
      <c r="R732" s="3" t="n"/>
    </row>
    <row r="733" ht="14.25" customHeight="1" s="96">
      <c r="P733" s="3" t="n"/>
      <c r="Q733" s="3" t="n"/>
      <c r="R733" s="3" t="n"/>
    </row>
    <row r="734" ht="14.25" customHeight="1" s="96">
      <c r="P734" s="3" t="n"/>
      <c r="Q734" s="3" t="n"/>
      <c r="R734" s="3" t="n"/>
    </row>
    <row r="735" ht="14.25" customHeight="1" s="96">
      <c r="P735" s="3" t="n"/>
      <c r="Q735" s="3" t="n"/>
      <c r="R735" s="3" t="n"/>
    </row>
    <row r="736" ht="14.25" customHeight="1" s="96">
      <c r="P736" s="3" t="n"/>
      <c r="Q736" s="3" t="n"/>
      <c r="R736" s="3" t="n"/>
    </row>
    <row r="737" ht="14.25" customHeight="1" s="96">
      <c r="P737" s="3" t="n"/>
      <c r="Q737" s="3" t="n"/>
      <c r="R737" s="3" t="n"/>
    </row>
    <row r="738" ht="14.25" customHeight="1" s="96">
      <c r="P738" s="3" t="n"/>
      <c r="Q738" s="3" t="n"/>
      <c r="R738" s="3" t="n"/>
    </row>
    <row r="739" ht="14.25" customHeight="1" s="96">
      <c r="P739" s="3" t="n"/>
      <c r="Q739" s="3" t="n"/>
      <c r="R739" s="3" t="n"/>
    </row>
    <row r="740" ht="14.25" customHeight="1" s="96">
      <c r="P740" s="3" t="n"/>
      <c r="Q740" s="3" t="n"/>
      <c r="R740" s="3" t="n"/>
    </row>
    <row r="741" ht="14.25" customHeight="1" s="96">
      <c r="P741" s="3" t="n"/>
      <c r="Q741" s="3" t="n"/>
      <c r="R741" s="3" t="n"/>
    </row>
    <row r="742" ht="14.25" customHeight="1" s="96">
      <c r="P742" s="3" t="n"/>
      <c r="Q742" s="3" t="n"/>
      <c r="R742" s="3" t="n"/>
    </row>
    <row r="743" ht="14.25" customHeight="1" s="96">
      <c r="P743" s="3" t="n"/>
      <c r="Q743" s="3" t="n"/>
      <c r="R743" s="3" t="n"/>
    </row>
    <row r="744" ht="14.25" customHeight="1" s="96">
      <c r="P744" s="3" t="n"/>
      <c r="Q744" s="3" t="n"/>
      <c r="R744" s="3" t="n"/>
    </row>
    <row r="745" ht="14.25" customHeight="1" s="96">
      <c r="P745" s="3" t="n"/>
      <c r="Q745" s="3" t="n"/>
      <c r="R745" s="3" t="n"/>
    </row>
    <row r="746" ht="14.25" customHeight="1" s="96">
      <c r="P746" s="3" t="n"/>
      <c r="Q746" s="3" t="n"/>
      <c r="R746" s="3" t="n"/>
    </row>
    <row r="747" ht="14.25" customHeight="1" s="96">
      <c r="P747" s="3" t="n"/>
      <c r="Q747" s="3" t="n"/>
      <c r="R747" s="3" t="n"/>
    </row>
    <row r="748" ht="14.25" customHeight="1" s="96">
      <c r="P748" s="3" t="n"/>
      <c r="Q748" s="3" t="n"/>
      <c r="R748" s="3" t="n"/>
    </row>
    <row r="749" ht="14.25" customHeight="1" s="96">
      <c r="P749" s="3" t="n"/>
      <c r="Q749" s="3" t="n"/>
      <c r="R749" s="3" t="n"/>
    </row>
    <row r="750" ht="14.25" customHeight="1" s="96">
      <c r="P750" s="3" t="n"/>
      <c r="Q750" s="3" t="n"/>
      <c r="R750" s="3" t="n"/>
    </row>
    <row r="751" ht="14.25" customHeight="1" s="96">
      <c r="P751" s="3" t="n"/>
      <c r="Q751" s="3" t="n"/>
      <c r="R751" s="3" t="n"/>
    </row>
    <row r="752" ht="14.25" customHeight="1" s="96">
      <c r="P752" s="3" t="n"/>
      <c r="Q752" s="3" t="n"/>
      <c r="R752" s="3" t="n"/>
    </row>
    <row r="753" ht="14.25" customHeight="1" s="96">
      <c r="P753" s="3" t="n"/>
      <c r="Q753" s="3" t="n"/>
      <c r="R753" s="3" t="n"/>
    </row>
    <row r="754" ht="14.25" customHeight="1" s="96">
      <c r="P754" s="3" t="n"/>
      <c r="Q754" s="3" t="n"/>
      <c r="R754" s="3" t="n"/>
    </row>
    <row r="755" ht="14.25" customHeight="1" s="96">
      <c r="P755" s="3" t="n"/>
      <c r="Q755" s="3" t="n"/>
      <c r="R755" s="3" t="n"/>
    </row>
    <row r="756" ht="14.25" customHeight="1" s="96">
      <c r="P756" s="3" t="n"/>
      <c r="Q756" s="3" t="n"/>
      <c r="R756" s="3" t="n"/>
    </row>
    <row r="757" ht="14.25" customHeight="1" s="96">
      <c r="P757" s="3" t="n"/>
      <c r="Q757" s="3" t="n"/>
      <c r="R757" s="3" t="n"/>
    </row>
    <row r="758" ht="14.25" customHeight="1" s="96">
      <c r="P758" s="3" t="n"/>
      <c r="Q758" s="3" t="n"/>
      <c r="R758" s="3" t="n"/>
    </row>
    <row r="759" ht="14.25" customHeight="1" s="96">
      <c r="P759" s="3" t="n"/>
      <c r="Q759" s="3" t="n"/>
      <c r="R759" s="3" t="n"/>
    </row>
    <row r="760" ht="14.25" customHeight="1" s="96">
      <c r="P760" s="3" t="n"/>
      <c r="Q760" s="3" t="n"/>
      <c r="R760" s="3" t="n"/>
    </row>
    <row r="761" ht="14.25" customHeight="1" s="96">
      <c r="P761" s="3" t="n"/>
      <c r="Q761" s="3" t="n"/>
      <c r="R761" s="3" t="n"/>
    </row>
    <row r="762" ht="14.25" customHeight="1" s="96">
      <c r="P762" s="3" t="n"/>
      <c r="Q762" s="3" t="n"/>
      <c r="R762" s="3" t="n"/>
    </row>
    <row r="763" ht="14.25" customHeight="1" s="96">
      <c r="P763" s="3" t="n"/>
      <c r="Q763" s="3" t="n"/>
      <c r="R763" s="3" t="n"/>
    </row>
    <row r="764" ht="14.25" customHeight="1" s="96">
      <c r="P764" s="3" t="n"/>
      <c r="Q764" s="3" t="n"/>
      <c r="R764" s="3" t="n"/>
    </row>
    <row r="765" ht="14.25" customHeight="1" s="96">
      <c r="P765" s="3" t="n"/>
      <c r="Q765" s="3" t="n"/>
      <c r="R765" s="3" t="n"/>
    </row>
    <row r="766" ht="14.25" customHeight="1" s="96">
      <c r="P766" s="3" t="n"/>
      <c r="Q766" s="3" t="n"/>
      <c r="R766" s="3" t="n"/>
    </row>
    <row r="767" ht="14.25" customHeight="1" s="96">
      <c r="P767" s="3" t="n"/>
      <c r="Q767" s="3" t="n"/>
      <c r="R767" s="3" t="n"/>
    </row>
    <row r="768" ht="14.25" customHeight="1" s="96">
      <c r="P768" s="3" t="n"/>
      <c r="Q768" s="3" t="n"/>
      <c r="R768" s="3" t="n"/>
    </row>
    <row r="769" ht="14.25" customHeight="1" s="96">
      <c r="P769" s="3" t="n"/>
      <c r="Q769" s="3" t="n"/>
      <c r="R769" s="3" t="n"/>
    </row>
    <row r="770" ht="14.25" customHeight="1" s="96">
      <c r="P770" s="3" t="n"/>
      <c r="Q770" s="3" t="n"/>
      <c r="R770" s="3" t="n"/>
    </row>
    <row r="771" ht="14.25" customHeight="1" s="96">
      <c r="P771" s="3" t="n"/>
      <c r="Q771" s="3" t="n"/>
      <c r="R771" s="3" t="n"/>
    </row>
    <row r="772" ht="14.25" customHeight="1" s="96">
      <c r="P772" s="3" t="n"/>
      <c r="Q772" s="3" t="n"/>
      <c r="R772" s="3" t="n"/>
    </row>
    <row r="773" ht="14.25" customHeight="1" s="96">
      <c r="P773" s="3" t="n"/>
      <c r="Q773" s="3" t="n"/>
      <c r="R773" s="3" t="n"/>
    </row>
    <row r="774" ht="14.25" customHeight="1" s="96">
      <c r="P774" s="3" t="n"/>
      <c r="Q774" s="3" t="n"/>
      <c r="R774" s="3" t="n"/>
    </row>
    <row r="775" ht="14.25" customHeight="1" s="96">
      <c r="P775" s="3" t="n"/>
      <c r="Q775" s="3" t="n"/>
      <c r="R775" s="3" t="n"/>
    </row>
    <row r="776" ht="14.25" customHeight="1" s="96">
      <c r="P776" s="3" t="n"/>
      <c r="Q776" s="3" t="n"/>
      <c r="R776" s="3" t="n"/>
    </row>
    <row r="777" ht="14.25" customHeight="1" s="96">
      <c r="P777" s="3" t="n"/>
      <c r="Q777" s="3" t="n"/>
      <c r="R777" s="3" t="n"/>
    </row>
    <row r="778" ht="14.25" customHeight="1" s="96">
      <c r="P778" s="3" t="n"/>
      <c r="Q778" s="3" t="n"/>
      <c r="R778" s="3" t="n"/>
    </row>
    <row r="779" ht="14.25" customHeight="1" s="96">
      <c r="P779" s="3" t="n"/>
      <c r="Q779" s="3" t="n"/>
      <c r="R779" s="3" t="n"/>
    </row>
    <row r="780" ht="14.25" customHeight="1" s="96">
      <c r="P780" s="3" t="n"/>
      <c r="Q780" s="3" t="n"/>
      <c r="R780" s="3" t="n"/>
    </row>
    <row r="781" ht="14.25" customHeight="1" s="96">
      <c r="P781" s="3" t="n"/>
      <c r="Q781" s="3" t="n"/>
      <c r="R781" s="3" t="n"/>
    </row>
    <row r="782" ht="14.25" customHeight="1" s="96">
      <c r="P782" s="3" t="n"/>
      <c r="Q782" s="3" t="n"/>
      <c r="R782" s="3" t="n"/>
    </row>
    <row r="783" ht="14.25" customHeight="1" s="96">
      <c r="P783" s="3" t="n"/>
      <c r="Q783" s="3" t="n"/>
      <c r="R783" s="3" t="n"/>
    </row>
    <row r="784" ht="14.25" customHeight="1" s="96">
      <c r="P784" s="3" t="n"/>
      <c r="Q784" s="3" t="n"/>
      <c r="R784" s="3" t="n"/>
    </row>
    <row r="785" ht="14.25" customHeight="1" s="96">
      <c r="P785" s="3" t="n"/>
      <c r="Q785" s="3" t="n"/>
      <c r="R785" s="3" t="n"/>
    </row>
    <row r="786" ht="14.25" customHeight="1" s="96">
      <c r="P786" s="3" t="n"/>
      <c r="Q786" s="3" t="n"/>
      <c r="R786" s="3" t="n"/>
    </row>
    <row r="787" ht="14.25" customHeight="1" s="96">
      <c r="P787" s="3" t="n"/>
      <c r="Q787" s="3" t="n"/>
      <c r="R787" s="3" t="n"/>
    </row>
    <row r="788" ht="14.25" customHeight="1" s="96">
      <c r="P788" s="3" t="n"/>
      <c r="Q788" s="3" t="n"/>
      <c r="R788" s="3" t="n"/>
    </row>
    <row r="789" ht="14.25" customHeight="1" s="96">
      <c r="P789" s="3" t="n"/>
      <c r="Q789" s="3" t="n"/>
      <c r="R789" s="3" t="n"/>
    </row>
    <row r="790" ht="14.25" customHeight="1" s="96">
      <c r="P790" s="3" t="n"/>
      <c r="Q790" s="3" t="n"/>
      <c r="R790" s="3" t="n"/>
    </row>
    <row r="791" ht="14.25" customHeight="1" s="96">
      <c r="P791" s="3" t="n"/>
      <c r="Q791" s="3" t="n"/>
      <c r="R791" s="3" t="n"/>
    </row>
    <row r="792" ht="14.25" customHeight="1" s="96">
      <c r="P792" s="3" t="n"/>
      <c r="Q792" s="3" t="n"/>
      <c r="R792" s="3" t="n"/>
    </row>
    <row r="793" ht="14.25" customHeight="1" s="96">
      <c r="P793" s="3" t="n"/>
      <c r="Q793" s="3" t="n"/>
      <c r="R793" s="3" t="n"/>
    </row>
    <row r="794" ht="14.25" customHeight="1" s="96">
      <c r="P794" s="3" t="n"/>
      <c r="Q794" s="3" t="n"/>
      <c r="R794" s="3" t="n"/>
    </row>
    <row r="795" ht="14.25" customHeight="1" s="96">
      <c r="P795" s="3" t="n"/>
      <c r="Q795" s="3" t="n"/>
      <c r="R795" s="3" t="n"/>
    </row>
    <row r="796" ht="14.25" customHeight="1" s="96">
      <c r="P796" s="3" t="n"/>
      <c r="Q796" s="3" t="n"/>
      <c r="R796" s="3" t="n"/>
    </row>
    <row r="797" ht="14.25" customHeight="1" s="96">
      <c r="P797" s="3" t="n"/>
      <c r="Q797" s="3" t="n"/>
      <c r="R797" s="3" t="n"/>
    </row>
    <row r="798" ht="14.25" customHeight="1" s="96">
      <c r="P798" s="3" t="n"/>
      <c r="Q798" s="3" t="n"/>
      <c r="R798" s="3" t="n"/>
    </row>
    <row r="799" ht="14.25" customHeight="1" s="96">
      <c r="P799" s="3" t="n"/>
      <c r="Q799" s="3" t="n"/>
      <c r="R799" s="3" t="n"/>
    </row>
    <row r="800" ht="14.25" customHeight="1" s="96">
      <c r="P800" s="3" t="n"/>
      <c r="Q800" s="3" t="n"/>
      <c r="R800" s="3" t="n"/>
    </row>
    <row r="801" ht="14.25" customHeight="1" s="96">
      <c r="P801" s="3" t="n"/>
      <c r="Q801" s="3" t="n"/>
      <c r="R801" s="3" t="n"/>
    </row>
    <row r="802" ht="14.25" customHeight="1" s="96">
      <c r="P802" s="3" t="n"/>
      <c r="Q802" s="3" t="n"/>
      <c r="R802" s="3" t="n"/>
    </row>
    <row r="803" ht="14.25" customHeight="1" s="96">
      <c r="P803" s="3" t="n"/>
      <c r="Q803" s="3" t="n"/>
      <c r="R803" s="3" t="n"/>
    </row>
    <row r="804" ht="14.25" customHeight="1" s="96">
      <c r="P804" s="3" t="n"/>
      <c r="Q804" s="3" t="n"/>
      <c r="R804" s="3" t="n"/>
    </row>
    <row r="805" ht="14.25" customHeight="1" s="96">
      <c r="P805" s="3" t="n"/>
      <c r="Q805" s="3" t="n"/>
      <c r="R805" s="3" t="n"/>
    </row>
    <row r="806" ht="14.25" customHeight="1" s="96">
      <c r="P806" s="3" t="n"/>
      <c r="Q806" s="3" t="n"/>
      <c r="R806" s="3" t="n"/>
    </row>
    <row r="807" ht="14.25" customHeight="1" s="96">
      <c r="P807" s="3" t="n"/>
      <c r="Q807" s="3" t="n"/>
      <c r="R807" s="3" t="n"/>
    </row>
    <row r="808" ht="14.25" customHeight="1" s="96">
      <c r="P808" s="3" t="n"/>
      <c r="Q808" s="3" t="n"/>
      <c r="R808" s="3" t="n"/>
    </row>
    <row r="809" ht="14.25" customHeight="1" s="96">
      <c r="P809" s="3" t="n"/>
      <c r="Q809" s="3" t="n"/>
      <c r="R809" s="3" t="n"/>
    </row>
    <row r="810" ht="14.25" customHeight="1" s="96">
      <c r="P810" s="3" t="n"/>
      <c r="Q810" s="3" t="n"/>
      <c r="R810" s="3" t="n"/>
    </row>
    <row r="811" ht="14.25" customHeight="1" s="96">
      <c r="P811" s="3" t="n"/>
      <c r="Q811" s="3" t="n"/>
      <c r="R811" s="3" t="n"/>
    </row>
    <row r="812" ht="14.25" customHeight="1" s="96">
      <c r="P812" s="3" t="n"/>
      <c r="Q812" s="3" t="n"/>
      <c r="R812" s="3" t="n"/>
    </row>
    <row r="813" ht="14.25" customHeight="1" s="96">
      <c r="P813" s="3" t="n"/>
      <c r="Q813" s="3" t="n"/>
      <c r="R813" s="3" t="n"/>
    </row>
    <row r="814" ht="14.25" customHeight="1" s="96">
      <c r="P814" s="3" t="n"/>
      <c r="Q814" s="3" t="n"/>
      <c r="R814" s="3" t="n"/>
    </row>
    <row r="815" ht="14.25" customHeight="1" s="96">
      <c r="P815" s="3" t="n"/>
      <c r="Q815" s="3" t="n"/>
      <c r="R815" s="3" t="n"/>
    </row>
    <row r="816" ht="14.25" customHeight="1" s="96">
      <c r="P816" s="3" t="n"/>
      <c r="Q816" s="3" t="n"/>
      <c r="R816" s="3" t="n"/>
    </row>
    <row r="817" ht="14.25" customHeight="1" s="96">
      <c r="P817" s="3" t="n"/>
      <c r="Q817" s="3" t="n"/>
      <c r="R817" s="3" t="n"/>
    </row>
    <row r="818" ht="14.25" customHeight="1" s="96">
      <c r="P818" s="3" t="n"/>
      <c r="Q818" s="3" t="n"/>
      <c r="R818" s="3" t="n"/>
    </row>
    <row r="819" ht="14.25" customHeight="1" s="96">
      <c r="P819" s="3" t="n"/>
      <c r="Q819" s="3" t="n"/>
      <c r="R819" s="3" t="n"/>
    </row>
    <row r="820" ht="14.25" customHeight="1" s="96">
      <c r="P820" s="3" t="n"/>
      <c r="Q820" s="3" t="n"/>
      <c r="R820" s="3" t="n"/>
    </row>
    <row r="821" ht="14.25" customHeight="1" s="96">
      <c r="P821" s="3" t="n"/>
      <c r="Q821" s="3" t="n"/>
      <c r="R821" s="3" t="n"/>
    </row>
    <row r="822" ht="14.25" customHeight="1" s="96">
      <c r="P822" s="3" t="n"/>
      <c r="Q822" s="3" t="n"/>
      <c r="R822" s="3" t="n"/>
    </row>
    <row r="823" ht="14.25" customHeight="1" s="96">
      <c r="P823" s="3" t="n"/>
      <c r="Q823" s="3" t="n"/>
      <c r="R823" s="3" t="n"/>
    </row>
    <row r="824" ht="14.25" customHeight="1" s="96">
      <c r="P824" s="3" t="n"/>
      <c r="Q824" s="3" t="n"/>
      <c r="R824" s="3" t="n"/>
    </row>
    <row r="825" ht="14.25" customHeight="1" s="96">
      <c r="P825" s="3" t="n"/>
      <c r="Q825" s="3" t="n"/>
      <c r="R825" s="3" t="n"/>
    </row>
    <row r="826" ht="14.25" customHeight="1" s="96">
      <c r="P826" s="3" t="n"/>
      <c r="Q826" s="3" t="n"/>
      <c r="R826" s="3" t="n"/>
    </row>
    <row r="827" ht="14.25" customHeight="1" s="96">
      <c r="P827" s="3" t="n"/>
      <c r="Q827" s="3" t="n"/>
      <c r="R827" s="3" t="n"/>
    </row>
    <row r="828" ht="14.25" customHeight="1" s="96">
      <c r="P828" s="3" t="n"/>
      <c r="Q828" s="3" t="n"/>
      <c r="R828" s="3" t="n"/>
    </row>
    <row r="829" ht="14.25" customHeight="1" s="96">
      <c r="P829" s="3" t="n"/>
      <c r="Q829" s="3" t="n"/>
      <c r="R829" s="3" t="n"/>
    </row>
    <row r="830" ht="14.25" customHeight="1" s="96">
      <c r="P830" s="3" t="n"/>
      <c r="Q830" s="3" t="n"/>
      <c r="R830" s="3" t="n"/>
    </row>
    <row r="831" ht="14.25" customHeight="1" s="96">
      <c r="P831" s="3" t="n"/>
      <c r="Q831" s="3" t="n"/>
      <c r="R831" s="3" t="n"/>
    </row>
    <row r="832" ht="14.25" customHeight="1" s="96">
      <c r="P832" s="3" t="n"/>
      <c r="Q832" s="3" t="n"/>
      <c r="R832" s="3" t="n"/>
    </row>
    <row r="833" ht="14.25" customHeight="1" s="96">
      <c r="P833" s="3" t="n"/>
      <c r="Q833" s="3" t="n"/>
      <c r="R833" s="3" t="n"/>
    </row>
    <row r="834" ht="14.25" customHeight="1" s="96">
      <c r="P834" s="3" t="n"/>
      <c r="Q834" s="3" t="n"/>
      <c r="R834" s="3" t="n"/>
    </row>
    <row r="835" ht="14.25" customHeight="1" s="96">
      <c r="P835" s="3" t="n"/>
      <c r="Q835" s="3" t="n"/>
      <c r="R835" s="3" t="n"/>
    </row>
    <row r="836" ht="14.25" customHeight="1" s="96">
      <c r="P836" s="3" t="n"/>
      <c r="Q836" s="3" t="n"/>
      <c r="R836" s="3" t="n"/>
    </row>
    <row r="837" ht="14.25" customHeight="1" s="96">
      <c r="P837" s="3" t="n"/>
      <c r="Q837" s="3" t="n"/>
      <c r="R837" s="3" t="n"/>
    </row>
    <row r="838" ht="14.25" customHeight="1" s="96">
      <c r="P838" s="3" t="n"/>
      <c r="Q838" s="3" t="n"/>
      <c r="R838" s="3" t="n"/>
    </row>
    <row r="839" ht="14.25" customHeight="1" s="96">
      <c r="P839" s="3" t="n"/>
      <c r="Q839" s="3" t="n"/>
      <c r="R839" s="3" t="n"/>
    </row>
    <row r="840" ht="14.25" customHeight="1" s="96">
      <c r="P840" s="3" t="n"/>
      <c r="Q840" s="3" t="n"/>
      <c r="R840" s="3" t="n"/>
    </row>
    <row r="841" ht="14.25" customHeight="1" s="96">
      <c r="P841" s="3" t="n"/>
      <c r="Q841" s="3" t="n"/>
      <c r="R841" s="3" t="n"/>
    </row>
    <row r="842" ht="14.25" customHeight="1" s="96">
      <c r="P842" s="3" t="n"/>
      <c r="Q842" s="3" t="n"/>
      <c r="R842" s="3" t="n"/>
    </row>
    <row r="843" ht="14.25" customHeight="1" s="96">
      <c r="P843" s="3" t="n"/>
      <c r="Q843" s="3" t="n"/>
      <c r="R843" s="3" t="n"/>
    </row>
    <row r="844" ht="14.25" customHeight="1" s="96">
      <c r="P844" s="3" t="n"/>
      <c r="Q844" s="3" t="n"/>
      <c r="R844" s="3" t="n"/>
    </row>
    <row r="845" ht="14.25" customHeight="1" s="96">
      <c r="P845" s="3" t="n"/>
      <c r="Q845" s="3" t="n"/>
      <c r="R845" s="3" t="n"/>
    </row>
    <row r="846" ht="14.25" customHeight="1" s="96">
      <c r="P846" s="3" t="n"/>
      <c r="Q846" s="3" t="n"/>
      <c r="R846" s="3" t="n"/>
    </row>
    <row r="847" ht="14.25" customHeight="1" s="96">
      <c r="P847" s="3" t="n"/>
      <c r="Q847" s="3" t="n"/>
      <c r="R847" s="3" t="n"/>
    </row>
    <row r="848" ht="14.25" customHeight="1" s="96">
      <c r="P848" s="3" t="n"/>
      <c r="Q848" s="3" t="n"/>
      <c r="R848" s="3" t="n"/>
    </row>
    <row r="849" ht="14.25" customHeight="1" s="96">
      <c r="P849" s="3" t="n"/>
      <c r="Q849" s="3" t="n"/>
      <c r="R849" s="3" t="n"/>
    </row>
    <row r="850" ht="14.25" customHeight="1" s="96">
      <c r="P850" s="3" t="n"/>
      <c r="Q850" s="3" t="n"/>
      <c r="R850" s="3" t="n"/>
    </row>
    <row r="851" ht="14.25" customHeight="1" s="96">
      <c r="P851" s="3" t="n"/>
      <c r="Q851" s="3" t="n"/>
      <c r="R851" s="3" t="n"/>
    </row>
    <row r="852" ht="14.25" customHeight="1" s="96">
      <c r="P852" s="3" t="n"/>
      <c r="Q852" s="3" t="n"/>
      <c r="R852" s="3" t="n"/>
    </row>
    <row r="853" ht="14.25" customHeight="1" s="96">
      <c r="P853" s="3" t="n"/>
      <c r="Q853" s="3" t="n"/>
      <c r="R853" s="3" t="n"/>
    </row>
    <row r="854" ht="14.25" customHeight="1" s="96">
      <c r="P854" s="3" t="n"/>
      <c r="Q854" s="3" t="n"/>
      <c r="R854" s="3" t="n"/>
    </row>
    <row r="855" ht="14.25" customHeight="1" s="96">
      <c r="P855" s="3" t="n"/>
      <c r="Q855" s="3" t="n"/>
      <c r="R855" s="3" t="n"/>
    </row>
    <row r="856" ht="14.25" customHeight="1" s="96">
      <c r="P856" s="3" t="n"/>
      <c r="Q856" s="3" t="n"/>
      <c r="R856" s="3" t="n"/>
    </row>
    <row r="857" ht="14.25" customHeight="1" s="96">
      <c r="P857" s="3" t="n"/>
      <c r="Q857" s="3" t="n"/>
      <c r="R857" s="3" t="n"/>
    </row>
    <row r="858" ht="14.25" customHeight="1" s="96">
      <c r="P858" s="3" t="n"/>
      <c r="Q858" s="3" t="n"/>
      <c r="R858" s="3" t="n"/>
    </row>
    <row r="859" ht="14.25" customHeight="1" s="96">
      <c r="P859" s="3" t="n"/>
      <c r="Q859" s="3" t="n"/>
      <c r="R859" s="3" t="n"/>
    </row>
    <row r="860" ht="14.25" customHeight="1" s="96">
      <c r="P860" s="3" t="n"/>
      <c r="Q860" s="3" t="n"/>
      <c r="R860" s="3" t="n"/>
    </row>
    <row r="861" ht="14.25" customHeight="1" s="96">
      <c r="P861" s="3" t="n"/>
      <c r="Q861" s="3" t="n"/>
      <c r="R861" s="3" t="n"/>
    </row>
    <row r="862" ht="14.25" customHeight="1" s="96">
      <c r="P862" s="3" t="n"/>
      <c r="Q862" s="3" t="n"/>
      <c r="R862" s="3" t="n"/>
    </row>
    <row r="863" ht="14.25" customHeight="1" s="96">
      <c r="P863" s="3" t="n"/>
      <c r="Q863" s="3" t="n"/>
      <c r="R863" s="3" t="n"/>
    </row>
    <row r="864" ht="14.25" customHeight="1" s="96">
      <c r="P864" s="3" t="n"/>
      <c r="Q864" s="3" t="n"/>
      <c r="R864" s="3" t="n"/>
    </row>
    <row r="865" ht="14.25" customHeight="1" s="96">
      <c r="P865" s="3" t="n"/>
      <c r="Q865" s="3" t="n"/>
      <c r="R865" s="3" t="n"/>
    </row>
    <row r="866" ht="14.25" customHeight="1" s="96">
      <c r="P866" s="3" t="n"/>
      <c r="Q866" s="3" t="n"/>
      <c r="R866" s="3" t="n"/>
    </row>
    <row r="867" ht="14.25" customHeight="1" s="96">
      <c r="P867" s="3" t="n"/>
      <c r="Q867" s="3" t="n"/>
      <c r="R867" s="3" t="n"/>
    </row>
    <row r="868" ht="14.25" customHeight="1" s="96">
      <c r="P868" s="3" t="n"/>
      <c r="Q868" s="3" t="n"/>
      <c r="R868" s="3" t="n"/>
    </row>
    <row r="869" ht="14.25" customHeight="1" s="96">
      <c r="P869" s="3" t="n"/>
      <c r="Q869" s="3" t="n"/>
      <c r="R869" s="3" t="n"/>
    </row>
    <row r="870" ht="14.25" customHeight="1" s="96">
      <c r="P870" s="3" t="n"/>
      <c r="Q870" s="3" t="n"/>
      <c r="R870" s="3" t="n"/>
    </row>
    <row r="871" ht="14.25" customHeight="1" s="96">
      <c r="P871" s="3" t="n"/>
      <c r="Q871" s="3" t="n"/>
      <c r="R871" s="3" t="n"/>
    </row>
    <row r="872" ht="14.25" customHeight="1" s="96">
      <c r="P872" s="3" t="n"/>
      <c r="Q872" s="3" t="n"/>
      <c r="R872" s="3" t="n"/>
    </row>
    <row r="873" ht="14.25" customHeight="1" s="96">
      <c r="P873" s="3" t="n"/>
      <c r="Q873" s="3" t="n"/>
      <c r="R873" s="3" t="n"/>
    </row>
    <row r="874" ht="14.25" customHeight="1" s="96">
      <c r="P874" s="3" t="n"/>
      <c r="Q874" s="3" t="n"/>
      <c r="R874" s="3" t="n"/>
    </row>
    <row r="875" ht="14.25" customHeight="1" s="96">
      <c r="P875" s="3" t="n"/>
      <c r="Q875" s="3" t="n"/>
      <c r="R875" s="3" t="n"/>
    </row>
    <row r="876" ht="14.25" customHeight="1" s="96">
      <c r="P876" s="3" t="n"/>
      <c r="Q876" s="3" t="n"/>
      <c r="R876" s="3" t="n"/>
    </row>
    <row r="877" ht="14.25" customHeight="1" s="96">
      <c r="P877" s="3" t="n"/>
      <c r="Q877" s="3" t="n"/>
      <c r="R877" s="3" t="n"/>
    </row>
    <row r="878" ht="14.25" customHeight="1" s="96">
      <c r="P878" s="3" t="n"/>
      <c r="Q878" s="3" t="n"/>
      <c r="R878" s="3" t="n"/>
    </row>
    <row r="879" ht="14.25" customHeight="1" s="96">
      <c r="P879" s="3" t="n"/>
      <c r="Q879" s="3" t="n"/>
      <c r="R879" s="3" t="n"/>
    </row>
    <row r="880" ht="14.25" customHeight="1" s="96">
      <c r="P880" s="3" t="n"/>
      <c r="Q880" s="3" t="n"/>
      <c r="R880" s="3" t="n"/>
    </row>
    <row r="881" ht="14.25" customHeight="1" s="96">
      <c r="P881" s="3" t="n"/>
      <c r="Q881" s="3" t="n"/>
      <c r="R881" s="3" t="n"/>
    </row>
    <row r="882" ht="14.25" customHeight="1" s="96">
      <c r="P882" s="3" t="n"/>
      <c r="Q882" s="3" t="n"/>
      <c r="R882" s="3" t="n"/>
    </row>
    <row r="883" ht="14.25" customHeight="1" s="96">
      <c r="P883" s="3" t="n"/>
      <c r="Q883" s="3" t="n"/>
      <c r="R883" s="3" t="n"/>
    </row>
    <row r="884" ht="14.25" customHeight="1" s="96">
      <c r="P884" s="3" t="n"/>
      <c r="Q884" s="3" t="n"/>
      <c r="R884" s="3" t="n"/>
    </row>
    <row r="885" ht="14.25" customHeight="1" s="96">
      <c r="P885" s="3" t="n"/>
      <c r="Q885" s="3" t="n"/>
      <c r="R885" s="3" t="n"/>
    </row>
    <row r="886" ht="14.25" customHeight="1" s="96">
      <c r="P886" s="3" t="n"/>
      <c r="Q886" s="3" t="n"/>
      <c r="R886" s="3" t="n"/>
    </row>
    <row r="887" ht="14.25" customHeight="1" s="96">
      <c r="P887" s="3" t="n"/>
      <c r="Q887" s="3" t="n"/>
      <c r="R887" s="3" t="n"/>
    </row>
    <row r="888" ht="14.25" customHeight="1" s="96">
      <c r="P888" s="3" t="n"/>
      <c r="Q888" s="3" t="n"/>
      <c r="R888" s="3" t="n"/>
    </row>
    <row r="889" ht="14.25" customHeight="1" s="96">
      <c r="P889" s="3" t="n"/>
      <c r="Q889" s="3" t="n"/>
      <c r="R889" s="3" t="n"/>
    </row>
    <row r="890" ht="14.25" customHeight="1" s="96">
      <c r="P890" s="3" t="n"/>
      <c r="Q890" s="3" t="n"/>
      <c r="R890" s="3" t="n"/>
    </row>
    <row r="891" ht="14.25" customHeight="1" s="96">
      <c r="P891" s="3" t="n"/>
      <c r="Q891" s="3" t="n"/>
      <c r="R891" s="3" t="n"/>
    </row>
    <row r="892" ht="14.25" customHeight="1" s="96">
      <c r="P892" s="3" t="n"/>
      <c r="Q892" s="3" t="n"/>
      <c r="R892" s="3" t="n"/>
    </row>
    <row r="893" ht="14.25" customHeight="1" s="96">
      <c r="P893" s="3" t="n"/>
      <c r="Q893" s="3" t="n"/>
      <c r="R893" s="3" t="n"/>
    </row>
    <row r="894" ht="14.25" customHeight="1" s="96">
      <c r="P894" s="3" t="n"/>
      <c r="Q894" s="3" t="n"/>
      <c r="R894" s="3" t="n"/>
    </row>
    <row r="895" ht="14.25" customHeight="1" s="96">
      <c r="P895" s="3" t="n"/>
      <c r="Q895" s="3" t="n"/>
      <c r="R895" s="3" t="n"/>
    </row>
    <row r="896" ht="14.25" customHeight="1" s="96">
      <c r="P896" s="3" t="n"/>
      <c r="Q896" s="3" t="n"/>
      <c r="R896" s="3" t="n"/>
    </row>
    <row r="897" ht="14.25" customHeight="1" s="96">
      <c r="P897" s="3" t="n"/>
      <c r="Q897" s="3" t="n"/>
      <c r="R897" s="3" t="n"/>
    </row>
    <row r="898" ht="14.25" customHeight="1" s="96">
      <c r="P898" s="3" t="n"/>
      <c r="Q898" s="3" t="n"/>
      <c r="R898" s="3" t="n"/>
    </row>
    <row r="899" ht="14.25" customHeight="1" s="96">
      <c r="P899" s="3" t="n"/>
      <c r="Q899" s="3" t="n"/>
      <c r="R899" s="3" t="n"/>
    </row>
    <row r="900" ht="14.25" customHeight="1" s="96">
      <c r="P900" s="3" t="n"/>
      <c r="Q900" s="3" t="n"/>
      <c r="R900" s="3" t="n"/>
    </row>
    <row r="901" ht="14.25" customHeight="1" s="96">
      <c r="P901" s="3" t="n"/>
      <c r="Q901" s="3" t="n"/>
      <c r="R901" s="3" t="n"/>
    </row>
    <row r="902" ht="14.25" customHeight="1" s="96">
      <c r="P902" s="3" t="n"/>
      <c r="Q902" s="3" t="n"/>
      <c r="R902" s="3" t="n"/>
    </row>
    <row r="903" ht="14.25" customHeight="1" s="96">
      <c r="P903" s="3" t="n"/>
      <c r="Q903" s="3" t="n"/>
      <c r="R903" s="3" t="n"/>
    </row>
    <row r="904" ht="14.25" customHeight="1" s="96">
      <c r="P904" s="3" t="n"/>
      <c r="Q904" s="3" t="n"/>
      <c r="R904" s="3" t="n"/>
    </row>
    <row r="905" ht="14.25" customHeight="1" s="96">
      <c r="P905" s="3" t="n"/>
      <c r="Q905" s="3" t="n"/>
      <c r="R905" s="3" t="n"/>
    </row>
    <row r="906" ht="14.25" customHeight="1" s="96">
      <c r="P906" s="3" t="n"/>
      <c r="Q906" s="3" t="n"/>
      <c r="R906" s="3" t="n"/>
    </row>
    <row r="907" ht="14.25" customHeight="1" s="96">
      <c r="P907" s="3" t="n"/>
      <c r="Q907" s="3" t="n"/>
      <c r="R907" s="3" t="n"/>
    </row>
    <row r="908" ht="14.25" customHeight="1" s="96">
      <c r="P908" s="3" t="n"/>
      <c r="Q908" s="3" t="n"/>
      <c r="R908" s="3" t="n"/>
    </row>
    <row r="909" ht="14.25" customHeight="1" s="96">
      <c r="P909" s="3" t="n"/>
      <c r="Q909" s="3" t="n"/>
      <c r="R909" s="3" t="n"/>
    </row>
    <row r="910" ht="14.25" customHeight="1" s="96">
      <c r="P910" s="3" t="n"/>
      <c r="Q910" s="3" t="n"/>
      <c r="R910" s="3" t="n"/>
    </row>
    <row r="911" ht="14.25" customHeight="1" s="96">
      <c r="P911" s="3" t="n"/>
      <c r="Q911" s="3" t="n"/>
      <c r="R911" s="3" t="n"/>
    </row>
    <row r="912" ht="14.25" customHeight="1" s="96">
      <c r="P912" s="3" t="n"/>
      <c r="Q912" s="3" t="n"/>
      <c r="R912" s="3" t="n"/>
    </row>
    <row r="913" ht="14.25" customHeight="1" s="96">
      <c r="P913" s="3" t="n"/>
      <c r="Q913" s="3" t="n"/>
      <c r="R913" s="3" t="n"/>
    </row>
    <row r="914" ht="14.25" customHeight="1" s="96">
      <c r="P914" s="3" t="n"/>
      <c r="Q914" s="3" t="n"/>
      <c r="R914" s="3" t="n"/>
    </row>
    <row r="915" ht="14.25" customHeight="1" s="96">
      <c r="P915" s="3" t="n"/>
      <c r="Q915" s="3" t="n"/>
      <c r="R915" s="3" t="n"/>
    </row>
    <row r="916" ht="14.25" customHeight="1" s="96">
      <c r="P916" s="3" t="n"/>
      <c r="Q916" s="3" t="n"/>
      <c r="R916" s="3" t="n"/>
    </row>
    <row r="917" ht="14.25" customHeight="1" s="96">
      <c r="P917" s="3" t="n"/>
      <c r="Q917" s="3" t="n"/>
      <c r="R917" s="3" t="n"/>
    </row>
    <row r="918" ht="14.25" customHeight="1" s="96">
      <c r="P918" s="3" t="n"/>
      <c r="Q918" s="3" t="n"/>
      <c r="R918" s="3" t="n"/>
    </row>
    <row r="919" ht="14.25" customHeight="1" s="96">
      <c r="P919" s="3" t="n"/>
      <c r="Q919" s="3" t="n"/>
      <c r="R919" s="3" t="n"/>
    </row>
    <row r="920" ht="14.25" customHeight="1" s="96">
      <c r="P920" s="3" t="n"/>
      <c r="Q920" s="3" t="n"/>
      <c r="R920" s="3" t="n"/>
    </row>
    <row r="921" ht="14.25" customHeight="1" s="96">
      <c r="P921" s="3" t="n"/>
      <c r="Q921" s="3" t="n"/>
      <c r="R921" s="3" t="n"/>
    </row>
    <row r="922" ht="14.25" customHeight="1" s="96">
      <c r="P922" s="3" t="n"/>
      <c r="Q922" s="3" t="n"/>
      <c r="R922" s="3" t="n"/>
    </row>
    <row r="923" ht="14.25" customHeight="1" s="96">
      <c r="P923" s="3" t="n"/>
      <c r="Q923" s="3" t="n"/>
      <c r="R923" s="3" t="n"/>
    </row>
    <row r="924" ht="14.25" customHeight="1" s="96">
      <c r="P924" s="3" t="n"/>
      <c r="Q924" s="3" t="n"/>
      <c r="R924" s="3" t="n"/>
    </row>
    <row r="925" ht="14.25" customHeight="1" s="96">
      <c r="P925" s="3" t="n"/>
      <c r="Q925" s="3" t="n"/>
      <c r="R925" s="3" t="n"/>
    </row>
    <row r="926" ht="14.25" customHeight="1" s="96">
      <c r="P926" s="3" t="n"/>
      <c r="Q926" s="3" t="n"/>
      <c r="R926" s="3" t="n"/>
    </row>
    <row r="927" ht="14.25" customHeight="1" s="96">
      <c r="P927" s="3" t="n"/>
      <c r="Q927" s="3" t="n"/>
      <c r="R927" s="3" t="n"/>
    </row>
    <row r="928" ht="14.25" customHeight="1" s="96">
      <c r="P928" s="3" t="n"/>
      <c r="Q928" s="3" t="n"/>
      <c r="R928" s="3" t="n"/>
    </row>
    <row r="929" ht="14.25" customHeight="1" s="96">
      <c r="P929" s="3" t="n"/>
      <c r="Q929" s="3" t="n"/>
      <c r="R929" s="3" t="n"/>
    </row>
    <row r="930" ht="14.25" customHeight="1" s="96">
      <c r="P930" s="3" t="n"/>
      <c r="Q930" s="3" t="n"/>
      <c r="R930" s="3" t="n"/>
    </row>
    <row r="931" ht="14.25" customHeight="1" s="96">
      <c r="P931" s="3" t="n"/>
      <c r="Q931" s="3" t="n"/>
      <c r="R931" s="3" t="n"/>
    </row>
    <row r="932" ht="14.25" customHeight="1" s="96">
      <c r="P932" s="3" t="n"/>
      <c r="Q932" s="3" t="n"/>
      <c r="R932" s="3" t="n"/>
    </row>
    <row r="933" ht="14.25" customHeight="1" s="96">
      <c r="P933" s="3" t="n"/>
      <c r="Q933" s="3" t="n"/>
      <c r="R933" s="3" t="n"/>
    </row>
    <row r="934" ht="14.25" customHeight="1" s="96">
      <c r="P934" s="3" t="n"/>
      <c r="Q934" s="3" t="n"/>
      <c r="R934" s="3" t="n"/>
    </row>
    <row r="935" ht="14.25" customHeight="1" s="96">
      <c r="P935" s="3" t="n"/>
      <c r="Q935" s="3" t="n"/>
      <c r="R935" s="3" t="n"/>
    </row>
    <row r="936" ht="14.25" customHeight="1" s="96">
      <c r="P936" s="3" t="n"/>
      <c r="Q936" s="3" t="n"/>
      <c r="R936" s="3" t="n"/>
    </row>
    <row r="937" ht="14.25" customHeight="1" s="96">
      <c r="P937" s="3" t="n"/>
      <c r="Q937" s="3" t="n"/>
      <c r="R937" s="3" t="n"/>
    </row>
    <row r="938" ht="14.25" customHeight="1" s="96">
      <c r="P938" s="3" t="n"/>
      <c r="Q938" s="3" t="n"/>
      <c r="R938" s="3" t="n"/>
    </row>
    <row r="939" ht="14.25" customHeight="1" s="96">
      <c r="P939" s="3" t="n"/>
      <c r="Q939" s="3" t="n"/>
      <c r="R939" s="3" t="n"/>
    </row>
    <row r="940" ht="14.25" customHeight="1" s="96">
      <c r="P940" s="3" t="n"/>
      <c r="Q940" s="3" t="n"/>
      <c r="R940" s="3" t="n"/>
    </row>
    <row r="941" ht="14.25" customHeight="1" s="96">
      <c r="P941" s="3" t="n"/>
      <c r="Q941" s="3" t="n"/>
      <c r="R941" s="3" t="n"/>
    </row>
    <row r="942" ht="14.25" customHeight="1" s="96">
      <c r="P942" s="3" t="n"/>
      <c r="Q942" s="3" t="n"/>
      <c r="R942" s="3" t="n"/>
    </row>
    <row r="943" ht="14.25" customHeight="1" s="96">
      <c r="P943" s="3" t="n"/>
      <c r="Q943" s="3" t="n"/>
      <c r="R943" s="3" t="n"/>
    </row>
    <row r="944" ht="14.25" customHeight="1" s="96">
      <c r="P944" s="3" t="n"/>
      <c r="Q944" s="3" t="n"/>
      <c r="R944" s="3" t="n"/>
    </row>
    <row r="945" ht="14.25" customHeight="1" s="96">
      <c r="P945" s="3" t="n"/>
      <c r="Q945" s="3" t="n"/>
      <c r="R945" s="3" t="n"/>
    </row>
    <row r="946" ht="14.25" customHeight="1" s="96">
      <c r="P946" s="3" t="n"/>
      <c r="Q946" s="3" t="n"/>
      <c r="R946" s="3" t="n"/>
    </row>
    <row r="947" ht="14.25" customHeight="1" s="96">
      <c r="P947" s="3" t="n"/>
      <c r="Q947" s="3" t="n"/>
      <c r="R947" s="3" t="n"/>
    </row>
    <row r="948" ht="14.25" customHeight="1" s="96">
      <c r="P948" s="3" t="n"/>
      <c r="Q948" s="3" t="n"/>
      <c r="R948" s="3" t="n"/>
    </row>
    <row r="949" ht="14.25" customHeight="1" s="96">
      <c r="P949" s="3" t="n"/>
      <c r="Q949" s="3" t="n"/>
      <c r="R949" s="3" t="n"/>
    </row>
    <row r="950" ht="14.25" customHeight="1" s="96">
      <c r="P950" s="3" t="n"/>
      <c r="Q950" s="3" t="n"/>
      <c r="R950" s="3" t="n"/>
    </row>
    <row r="951" ht="14.25" customHeight="1" s="96">
      <c r="P951" s="3" t="n"/>
      <c r="Q951" s="3" t="n"/>
      <c r="R951" s="3" t="n"/>
    </row>
    <row r="952" ht="14.25" customHeight="1" s="96">
      <c r="P952" s="3" t="n"/>
      <c r="Q952" s="3" t="n"/>
      <c r="R952" s="3" t="n"/>
    </row>
    <row r="953" ht="14.25" customHeight="1" s="96">
      <c r="P953" s="3" t="n"/>
      <c r="Q953" s="3" t="n"/>
      <c r="R953" s="3" t="n"/>
    </row>
    <row r="954" ht="14.25" customHeight="1" s="96">
      <c r="P954" s="3" t="n"/>
      <c r="Q954" s="3" t="n"/>
      <c r="R954" s="3" t="n"/>
    </row>
    <row r="955" ht="14.25" customHeight="1" s="96">
      <c r="P955" s="3" t="n"/>
      <c r="Q955" s="3" t="n"/>
      <c r="R955" s="3" t="n"/>
    </row>
    <row r="956" ht="14.25" customHeight="1" s="96">
      <c r="P956" s="3" t="n"/>
      <c r="Q956" s="3" t="n"/>
      <c r="R956" s="3" t="n"/>
    </row>
    <row r="957" ht="14.25" customHeight="1" s="96">
      <c r="P957" s="3" t="n"/>
      <c r="Q957" s="3" t="n"/>
      <c r="R957" s="3" t="n"/>
    </row>
    <row r="958" ht="14.25" customHeight="1" s="96">
      <c r="P958" s="3" t="n"/>
      <c r="Q958" s="3" t="n"/>
      <c r="R958" s="3" t="n"/>
    </row>
    <row r="959" ht="14.25" customHeight="1" s="96">
      <c r="P959" s="3" t="n"/>
      <c r="Q959" s="3" t="n"/>
      <c r="R959" s="3" t="n"/>
    </row>
    <row r="960" ht="14.25" customHeight="1" s="96">
      <c r="P960" s="3" t="n"/>
      <c r="Q960" s="3" t="n"/>
      <c r="R960" s="3" t="n"/>
    </row>
    <row r="961" ht="14.25" customHeight="1" s="96">
      <c r="P961" s="3" t="n"/>
      <c r="Q961" s="3" t="n"/>
      <c r="R961" s="3" t="n"/>
    </row>
    <row r="962" ht="14.25" customHeight="1" s="96">
      <c r="P962" s="3" t="n"/>
      <c r="Q962" s="3" t="n"/>
      <c r="R962" s="3" t="n"/>
    </row>
    <row r="963" ht="14.25" customHeight="1" s="96">
      <c r="P963" s="3" t="n"/>
      <c r="Q963" s="3" t="n"/>
      <c r="R963" s="3" t="n"/>
    </row>
    <row r="964" ht="14.25" customHeight="1" s="96">
      <c r="P964" s="3" t="n"/>
      <c r="Q964" s="3" t="n"/>
      <c r="R964" s="3" t="n"/>
    </row>
    <row r="965" ht="14.25" customHeight="1" s="96">
      <c r="P965" s="3" t="n"/>
      <c r="Q965" s="3" t="n"/>
      <c r="R965" s="3" t="n"/>
    </row>
    <row r="966" ht="14.25" customHeight="1" s="96">
      <c r="P966" s="3" t="n"/>
      <c r="Q966" s="3" t="n"/>
      <c r="R966" s="3" t="n"/>
    </row>
    <row r="967" ht="14.25" customHeight="1" s="96">
      <c r="P967" s="3" t="n"/>
      <c r="Q967" s="3" t="n"/>
      <c r="R967" s="3" t="n"/>
    </row>
    <row r="968" ht="14.25" customHeight="1" s="96">
      <c r="P968" s="3" t="n"/>
      <c r="Q968" s="3" t="n"/>
      <c r="R968" s="3" t="n"/>
    </row>
    <row r="969" ht="14.25" customHeight="1" s="96">
      <c r="P969" s="3" t="n"/>
      <c r="Q969" s="3" t="n"/>
      <c r="R969" s="3" t="n"/>
    </row>
    <row r="970" ht="14.25" customHeight="1" s="96">
      <c r="P970" s="3" t="n"/>
      <c r="Q970" s="3" t="n"/>
      <c r="R970" s="3" t="n"/>
    </row>
    <row r="971" ht="14.25" customHeight="1" s="96">
      <c r="P971" s="3" t="n"/>
      <c r="Q971" s="3" t="n"/>
      <c r="R971" s="3" t="n"/>
    </row>
    <row r="972" ht="14.25" customHeight="1" s="96">
      <c r="P972" s="3" t="n"/>
      <c r="Q972" s="3" t="n"/>
      <c r="R972" s="3" t="n"/>
    </row>
    <row r="973" ht="14.25" customHeight="1" s="96">
      <c r="P973" s="3" t="n"/>
      <c r="Q973" s="3" t="n"/>
      <c r="R973" s="3" t="n"/>
    </row>
    <row r="974" ht="14.25" customHeight="1" s="96">
      <c r="P974" s="3" t="n"/>
      <c r="Q974" s="3" t="n"/>
      <c r="R974" s="3" t="n"/>
    </row>
    <row r="975" ht="14.25" customHeight="1" s="96">
      <c r="P975" s="3" t="n"/>
      <c r="Q975" s="3" t="n"/>
      <c r="R975" s="3" t="n"/>
    </row>
    <row r="976" ht="14.25" customHeight="1" s="96">
      <c r="P976" s="3" t="n"/>
      <c r="Q976" s="3" t="n"/>
      <c r="R976" s="3" t="n"/>
    </row>
    <row r="977" ht="14.25" customHeight="1" s="96">
      <c r="P977" s="3" t="n"/>
      <c r="Q977" s="3" t="n"/>
      <c r="R977" s="3" t="n"/>
    </row>
    <row r="978" ht="14.25" customHeight="1" s="96">
      <c r="P978" s="3" t="n"/>
      <c r="Q978" s="3" t="n"/>
      <c r="R978" s="3" t="n"/>
    </row>
    <row r="979" ht="14.25" customHeight="1" s="96">
      <c r="P979" s="3" t="n"/>
      <c r="Q979" s="3" t="n"/>
      <c r="R979" s="3" t="n"/>
    </row>
    <row r="980" ht="14.25" customHeight="1" s="96">
      <c r="P980" s="3" t="n"/>
      <c r="Q980" s="3" t="n"/>
      <c r="R980" s="3" t="n"/>
    </row>
  </sheetData>
  <mergeCells count="11">
    <mergeCell ref="A325:A404"/>
    <mergeCell ref="A245:A324"/>
    <mergeCell ref="I3:M3"/>
    <mergeCell ref="A165:A244"/>
    <mergeCell ref="K2:L2"/>
    <mergeCell ref="I2:J2"/>
    <mergeCell ref="P3:P4"/>
    <mergeCell ref="Q3:Q4"/>
    <mergeCell ref="R3:R4"/>
    <mergeCell ref="A85:A164"/>
    <mergeCell ref="A5:A8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42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96" min="1" max="1"/>
    <col width="5.14" customWidth="1" style="96" min="2" max="2"/>
    <col width="8.710000000000001" customWidth="1" style="96" min="3" max="6"/>
    <col width="16" customWidth="1" style="96" min="7" max="7"/>
    <col width="8.710000000000001" customWidth="1" style="96" min="8" max="13"/>
    <col width="9.57" customWidth="1" style="96" min="14" max="14"/>
    <col width="14.43" customWidth="1" style="96" min="15" max="15"/>
    <col width="14.14" customWidth="1" style="96" min="16" max="17"/>
    <col width="18.57" customWidth="1" style="96" min="18" max="18"/>
    <col width="8.710000000000001" customWidth="1" style="96" min="19" max="24"/>
    <col width="12" customWidth="1" style="96" min="26" max="26"/>
    <col width="12" customWidth="1" style="96" min="27" max="27"/>
    <col width="12" customWidth="1" style="96" min="28" max="28"/>
  </cols>
  <sheetData>
    <row r="1" ht="14.25" customHeight="1" s="96">
      <c r="A1" s="6" t="n"/>
      <c r="B1" s="6" t="n"/>
      <c r="C1" s="6" t="n"/>
      <c r="D1" s="2" t="n"/>
      <c r="I1" s="6" t="n"/>
      <c r="P1" s="3" t="n"/>
      <c r="Q1" s="3" t="n"/>
      <c r="R1" s="3" t="n"/>
    </row>
    <row r="2" ht="14.25" customHeight="1" s="96">
      <c r="A2" s="6" t="n"/>
      <c r="B2" s="6" t="n"/>
      <c r="C2" s="6" t="n"/>
      <c r="D2" s="2" t="n"/>
      <c r="I2" s="6" t="inlineStr">
        <is>
          <t>in validation,  bias and teta are obtained from training for each epoch</t>
        </is>
      </c>
    </row>
    <row r="3" ht="14.25" customHeight="1" s="96">
      <c r="A3" s="6" t="n"/>
      <c r="B3" s="6" t="n"/>
      <c r="C3" s="6" t="n"/>
      <c r="D3" s="2" t="n"/>
      <c r="I3" s="6" t="n"/>
      <c r="P3" s="3" t="n"/>
      <c r="Q3" s="3" t="n"/>
      <c r="R3" s="3" t="n"/>
      <c r="Z3" s="106" t="inlineStr">
        <is>
          <t>REKAP VALIDASI PER EPOCH</t>
        </is>
      </c>
    </row>
    <row r="4" ht="14.25" customHeight="1" s="96">
      <c r="A4" s="6" t="n"/>
      <c r="B4" s="6" t="n"/>
      <c r="C4" s="6" t="n"/>
      <c r="D4" s="2" t="n"/>
      <c r="G4" s="5" t="inlineStr">
        <is>
          <t>Setosa = 0</t>
        </is>
      </c>
      <c r="I4" s="97" t="inlineStr">
        <is>
          <t>Learning Rate</t>
        </is>
      </c>
      <c r="J4" s="98" t="n"/>
      <c r="K4" s="99" t="n">
        <v>0.1</v>
      </c>
      <c r="L4" s="100" t="n"/>
      <c r="P4" s="3" t="n"/>
      <c r="Q4" s="3" t="n"/>
      <c r="R4" s="3" t="n"/>
      <c r="Z4" s="109" t="inlineStr">
        <is>
          <t>Epoch</t>
        </is>
      </c>
      <c r="AA4" s="109" t="inlineStr">
        <is>
          <t>Loss (MSE)</t>
        </is>
      </c>
      <c r="AB4" s="109" t="inlineStr">
        <is>
          <t>Accuracy</t>
        </is>
      </c>
    </row>
    <row r="5" ht="14.25" customHeight="1" s="96">
      <c r="C5" s="6" t="n"/>
      <c r="G5" s="13" t="inlineStr">
        <is>
          <t>Versicolor = 1</t>
        </is>
      </c>
      <c r="I5" s="101" t="inlineStr">
        <is>
          <t>Bobot bias</t>
        </is>
      </c>
      <c r="J5" s="102" t="n"/>
      <c r="K5" s="102" t="n"/>
      <c r="L5" s="102" t="n"/>
      <c r="M5" s="103" t="n"/>
      <c r="N5" s="17" t="inlineStr">
        <is>
          <t>dot product</t>
        </is>
      </c>
      <c r="O5" s="18" t="inlineStr">
        <is>
          <t>Sigmoid</t>
        </is>
      </c>
      <c r="P5" s="23" t="inlineStr">
        <is>
          <t>Prediksi</t>
        </is>
      </c>
      <c r="Q5" s="23" t="inlineStr">
        <is>
          <t>error</t>
        </is>
      </c>
      <c r="R5" s="104" t="inlineStr">
        <is>
          <t>Sum Square Error</t>
        </is>
      </c>
      <c r="S5" s="105" t="inlineStr">
        <is>
          <t>Benar?</t>
        </is>
      </c>
      <c r="Z5" t="n">
        <v>1</v>
      </c>
      <c r="AA5" s="111">
        <f>AVERAGE(R7:R26)</f>
        <v/>
      </c>
      <c r="AB5" s="112">
        <f>AVERAGE(S7:S26)</f>
        <v/>
      </c>
    </row>
    <row r="6" ht="14.25" customHeight="1" s="96">
      <c r="A6" s="21" t="inlineStr">
        <is>
          <t>EPOCH</t>
        </is>
      </c>
      <c r="B6" s="22" t="inlineStr">
        <is>
          <t>No</t>
        </is>
      </c>
      <c r="C6" s="23" t="inlineStr">
        <is>
          <t>X1</t>
        </is>
      </c>
      <c r="D6" s="23" t="inlineStr">
        <is>
          <t>X2</t>
        </is>
      </c>
      <c r="E6" s="23" t="inlineStr">
        <is>
          <t>X3</t>
        </is>
      </c>
      <c r="F6" s="23" t="inlineStr">
        <is>
          <t>X4</t>
        </is>
      </c>
      <c r="G6" s="24" t="inlineStr">
        <is>
          <t>TARGET</t>
        </is>
      </c>
      <c r="I6" s="25" t="inlineStr">
        <is>
          <t>bias</t>
        </is>
      </c>
      <c r="J6" s="26" t="inlineStr">
        <is>
          <t>teta1</t>
        </is>
      </c>
      <c r="K6" s="28" t="inlineStr">
        <is>
          <t>teta2</t>
        </is>
      </c>
      <c r="L6" s="28" t="inlineStr">
        <is>
          <t>teta 3</t>
        </is>
      </c>
      <c r="M6" s="28" t="inlineStr">
        <is>
          <t>teta4</t>
        </is>
      </c>
      <c r="N6" s="28" t="inlineStr">
        <is>
          <t>z</t>
        </is>
      </c>
      <c r="O6" s="28" t="inlineStr">
        <is>
          <t>g(z)</t>
        </is>
      </c>
      <c r="P6" s="107" t="n"/>
      <c r="Q6" s="107" t="n"/>
      <c r="R6" s="108" t="n"/>
      <c r="S6" s="105" t="inlineStr">
        <is>
          <t>benar</t>
        </is>
      </c>
      <c r="T6" s="42" t="n"/>
      <c r="U6" s="42" t="n"/>
      <c r="V6" s="42" t="n"/>
      <c r="W6" s="42" t="n"/>
      <c r="X6" s="42" t="n"/>
      <c r="Z6" t="n">
        <v>2</v>
      </c>
      <c r="AA6" s="111">
        <f>AVERAGE(R27:R46)</f>
        <v/>
      </c>
      <c r="AB6" s="112">
        <f>AVERAGE(S27:S46)</f>
        <v/>
      </c>
    </row>
    <row r="7" ht="14.25" customHeight="1" s="96">
      <c r="A7" s="110" t="inlineStr">
        <is>
          <t>epoch 1</t>
        </is>
      </c>
      <c r="B7" s="33" t="n">
        <v>1</v>
      </c>
      <c r="C7" s="4" t="n">
        <v>5</v>
      </c>
      <c r="D7" s="7" t="n">
        <v>3.5</v>
      </c>
      <c r="E7" s="7" t="n">
        <v>1.3</v>
      </c>
      <c r="F7" s="7" t="n">
        <v>0.3</v>
      </c>
      <c r="G7" s="37" t="n">
        <v>0</v>
      </c>
      <c r="H7" s="35" t="n"/>
      <c r="I7" s="73">
        <f>'SLP-Training'!$AC$5</f>
        <v/>
      </c>
      <c r="J7" s="73">
        <f>'SLP-Training'!$AD$5</f>
        <v/>
      </c>
      <c r="K7" s="73">
        <f>'SLP-Training'!$AE$5</f>
        <v/>
      </c>
      <c r="L7" s="73">
        <f>'SLP-Training'!$AF$5</f>
        <v/>
      </c>
      <c r="M7" s="73">
        <f>'SLP-Training'!$AG$5</f>
        <v/>
      </c>
      <c r="N7" s="38">
        <f>I7+J7*C7+K7*D7+L7*E7+F7*M7</f>
        <v/>
      </c>
      <c r="O7" s="38">
        <f>1/(1+EXP(-N7))</f>
        <v/>
      </c>
      <c r="P7" s="40">
        <f>IF(O7&gt;0.5,1,0)</f>
        <v/>
      </c>
      <c r="Q7" s="40">
        <f>O7-G7</f>
        <v/>
      </c>
      <c r="R7" s="41">
        <f>Q7^2</f>
        <v/>
      </c>
      <c r="S7">
        <f>IF(P7=G7,1,0)</f>
        <v/>
      </c>
      <c r="T7" s="42" t="n"/>
      <c r="U7" s="42" t="n"/>
      <c r="V7" s="42" t="n"/>
      <c r="W7" s="42" t="n"/>
      <c r="X7" s="42" t="n"/>
      <c r="Z7" t="n">
        <v>3</v>
      </c>
      <c r="AA7" s="111">
        <f>AVERAGE(R47:R66)</f>
        <v/>
      </c>
      <c r="AB7" s="112">
        <f>AVERAGE(S47:S66)</f>
        <v/>
      </c>
    </row>
    <row r="8" ht="14.25" customHeight="1" s="96">
      <c r="A8" s="114" t="n"/>
      <c r="B8" s="44" t="n">
        <v>2</v>
      </c>
      <c r="C8" s="4" t="n">
        <v>4.5</v>
      </c>
      <c r="D8" s="7" t="n">
        <v>2.3</v>
      </c>
      <c r="E8" s="7" t="n">
        <v>1.3</v>
      </c>
      <c r="F8" s="7" t="n">
        <v>0.3</v>
      </c>
      <c r="G8" s="37" t="n">
        <v>0</v>
      </c>
      <c r="I8" s="44">
        <f>I7</f>
        <v/>
      </c>
      <c r="J8" s="46">
        <f>J7</f>
        <v/>
      </c>
      <c r="K8" s="46">
        <f>K7</f>
        <v/>
      </c>
      <c r="L8" s="46">
        <f>L7</f>
        <v/>
      </c>
      <c r="M8" s="46">
        <f>M7</f>
        <v/>
      </c>
      <c r="N8" s="38">
        <f>I8+J8*C8+K8*D8+L8*E8+F8*M8</f>
        <v/>
      </c>
      <c r="O8" s="38">
        <f>1/(1+EXP(-N8))</f>
        <v/>
      </c>
      <c r="P8" s="47">
        <f>IF(O8&gt;0.5,1,0)</f>
        <v/>
      </c>
      <c r="Q8" s="47">
        <f>O8-G8</f>
        <v/>
      </c>
      <c r="R8" s="48">
        <f>Q8^2</f>
        <v/>
      </c>
      <c r="S8">
        <f>IF(P8=G8,1,0)</f>
        <v/>
      </c>
      <c r="Z8" t="n">
        <v>4</v>
      </c>
      <c r="AA8" s="111">
        <f>AVERAGE(R67:R86)</f>
        <v/>
      </c>
      <c r="AB8" s="112">
        <f>AVERAGE(S67:S86)</f>
        <v/>
      </c>
    </row>
    <row r="9" ht="14.25" customHeight="1" s="96">
      <c r="A9" s="114" t="n"/>
      <c r="B9" s="33" t="n">
        <v>3</v>
      </c>
      <c r="C9" s="4" t="n">
        <v>4.4</v>
      </c>
      <c r="D9" s="7" t="n">
        <v>3.2</v>
      </c>
      <c r="E9" s="7" t="n">
        <v>1.3</v>
      </c>
      <c r="F9" s="7" t="n">
        <v>0.2</v>
      </c>
      <c r="G9" s="37" t="n">
        <v>0</v>
      </c>
      <c r="I9" s="44">
        <f>I8</f>
        <v/>
      </c>
      <c r="J9" s="46">
        <f>J8</f>
        <v/>
      </c>
      <c r="K9" s="46">
        <f>K8</f>
        <v/>
      </c>
      <c r="L9" s="46">
        <f>L8</f>
        <v/>
      </c>
      <c r="M9" s="46">
        <f>M8</f>
        <v/>
      </c>
      <c r="N9" s="46">
        <f>I9+J9*C9+K9*D9+L9*E9+F9*M9</f>
        <v/>
      </c>
      <c r="O9" s="46">
        <f>1/(1+EXP(-N9))</f>
        <v/>
      </c>
      <c r="P9" s="47">
        <f>IF(O9&gt;0.5,1,0)</f>
        <v/>
      </c>
      <c r="Q9" s="47">
        <f>O9-G9</f>
        <v/>
      </c>
      <c r="R9" s="48">
        <f>Q9^2</f>
        <v/>
      </c>
      <c r="S9">
        <f>IF(P9=G9,1,0)</f>
        <v/>
      </c>
      <c r="Z9" t="n">
        <v>5</v>
      </c>
      <c r="AA9" s="111">
        <f>AVERAGE(R87:R106)</f>
        <v/>
      </c>
      <c r="AB9" s="112">
        <f>AVERAGE(S87:S106)</f>
        <v/>
      </c>
    </row>
    <row r="10" ht="14.25" customHeight="1" s="96">
      <c r="A10" s="114" t="n"/>
      <c r="B10" s="44" t="n">
        <v>4</v>
      </c>
      <c r="C10" s="4" t="n">
        <v>5</v>
      </c>
      <c r="D10" s="7" t="n">
        <v>3.5</v>
      </c>
      <c r="E10" s="7" t="n">
        <v>1.6</v>
      </c>
      <c r="F10" s="7" t="n">
        <v>0.6</v>
      </c>
      <c r="G10" s="37" t="n">
        <v>0</v>
      </c>
      <c r="I10" s="44">
        <f>I9</f>
        <v/>
      </c>
      <c r="J10" s="46">
        <f>J9</f>
        <v/>
      </c>
      <c r="K10" s="46">
        <f>K9</f>
        <v/>
      </c>
      <c r="L10" s="46">
        <f>L9</f>
        <v/>
      </c>
      <c r="M10" s="46">
        <f>M9</f>
        <v/>
      </c>
      <c r="N10" s="46">
        <f>I10+J10*C10+K10*D10+L10*E10+F10*M10</f>
        <v/>
      </c>
      <c r="O10" s="46">
        <f>1/(1+EXP(-N10))</f>
        <v/>
      </c>
      <c r="P10" s="47">
        <f>IF(O10&gt;0.5,1,0)</f>
        <v/>
      </c>
      <c r="Q10" s="47">
        <f>O10-G10</f>
        <v/>
      </c>
      <c r="R10" s="48">
        <f>Q10^2</f>
        <v/>
      </c>
      <c r="S10">
        <f>IF(P10=G10,1,0)</f>
        <v/>
      </c>
    </row>
    <row r="11" ht="14.25" customHeight="1" s="96">
      <c r="A11" s="114" t="n"/>
      <c r="B11" s="33" t="n">
        <v>5</v>
      </c>
      <c r="C11" s="4" t="n">
        <v>5.1</v>
      </c>
      <c r="D11" s="7" t="n">
        <v>3.8</v>
      </c>
      <c r="E11" s="7" t="n">
        <v>1.9</v>
      </c>
      <c r="F11" s="7" t="n">
        <v>0.4</v>
      </c>
      <c r="G11" s="37" t="n">
        <v>0</v>
      </c>
      <c r="I11" s="44">
        <f>I10</f>
        <v/>
      </c>
      <c r="J11" s="46">
        <f>J10</f>
        <v/>
      </c>
      <c r="K11" s="46">
        <f>K10</f>
        <v/>
      </c>
      <c r="L11" s="46">
        <f>L10</f>
        <v/>
      </c>
      <c r="M11" s="46">
        <f>M10</f>
        <v/>
      </c>
      <c r="N11" s="46">
        <f>I11+J11*C11+K11*D11+L11*E11+F11*M11</f>
        <v/>
      </c>
      <c r="O11" s="46">
        <f>1/(1+EXP(-N11))</f>
        <v/>
      </c>
      <c r="P11" s="47">
        <f>IF(O11&gt;0.5,1,0)</f>
        <v/>
      </c>
      <c r="Q11" s="47">
        <f>O11-G11</f>
        <v/>
      </c>
      <c r="R11" s="48">
        <f>Q11^2</f>
        <v/>
      </c>
      <c r="S11">
        <f>IF(P11=G11,1,0)</f>
        <v/>
      </c>
    </row>
    <row r="12" ht="14.25" customHeight="1" s="96">
      <c r="A12" s="114" t="n"/>
      <c r="B12" s="44" t="n">
        <v>6</v>
      </c>
      <c r="C12" s="4" t="n">
        <v>4.8</v>
      </c>
      <c r="D12" s="7" t="n">
        <v>3</v>
      </c>
      <c r="E12" s="7" t="n">
        <v>1.4</v>
      </c>
      <c r="F12" s="7" t="n">
        <v>0.3</v>
      </c>
      <c r="G12" s="37" t="n">
        <v>0</v>
      </c>
      <c r="I12" s="44">
        <f>I11</f>
        <v/>
      </c>
      <c r="J12" s="46">
        <f>J11</f>
        <v/>
      </c>
      <c r="K12" s="46">
        <f>K11</f>
        <v/>
      </c>
      <c r="L12" s="46">
        <f>L11</f>
        <v/>
      </c>
      <c r="M12" s="46">
        <f>M11</f>
        <v/>
      </c>
      <c r="N12" s="46">
        <f>I12+J12*C12+K12*D12+L12*E12+F12*M12</f>
        <v/>
      </c>
      <c r="O12" s="46">
        <f>1/(1+EXP(-N12))</f>
        <v/>
      </c>
      <c r="P12" s="47">
        <f>IF(O12&gt;0.5,1,0)</f>
        <v/>
      </c>
      <c r="Q12" s="47">
        <f>O12-G12</f>
        <v/>
      </c>
      <c r="R12" s="48">
        <f>Q12^2</f>
        <v/>
      </c>
      <c r="S12">
        <f>IF(P12=G12,1,0)</f>
        <v/>
      </c>
    </row>
    <row r="13" ht="14.25" customHeight="1" s="96">
      <c r="A13" s="114" t="n"/>
      <c r="B13" s="33" t="n">
        <v>7</v>
      </c>
      <c r="C13" s="4" t="n">
        <v>5.1</v>
      </c>
      <c r="D13" s="7" t="n">
        <v>3.8</v>
      </c>
      <c r="E13" s="7" t="n">
        <v>1.6</v>
      </c>
      <c r="F13" s="7" t="n">
        <v>0.2</v>
      </c>
      <c r="G13" s="37" t="n">
        <v>0</v>
      </c>
      <c r="I13" s="44">
        <f>I12</f>
        <v/>
      </c>
      <c r="J13" s="46">
        <f>J12</f>
        <v/>
      </c>
      <c r="K13" s="46">
        <f>K12</f>
        <v/>
      </c>
      <c r="L13" s="46">
        <f>L12</f>
        <v/>
      </c>
      <c r="M13" s="46">
        <f>M12</f>
        <v/>
      </c>
      <c r="N13" s="46">
        <f>I13+J13*C13+K13*D13+L13*E13+F13*M13</f>
        <v/>
      </c>
      <c r="O13" s="46">
        <f>1/(1+EXP(-N13))</f>
        <v/>
      </c>
      <c r="P13" s="47">
        <f>IF(O13&gt;0.5,1,0)</f>
        <v/>
      </c>
      <c r="Q13" s="47">
        <f>O13-G13</f>
        <v/>
      </c>
      <c r="R13" s="48">
        <f>Q13^2</f>
        <v/>
      </c>
      <c r="S13">
        <f>IF(P13=G13,1,0)</f>
        <v/>
      </c>
    </row>
    <row r="14" ht="14.25" customHeight="1" s="96">
      <c r="A14" s="114" t="n"/>
      <c r="B14" s="44" t="n">
        <v>8</v>
      </c>
      <c r="C14" s="4" t="n">
        <v>4.6</v>
      </c>
      <c r="D14" s="7" t="n">
        <v>3.2</v>
      </c>
      <c r="E14" s="7" t="n">
        <v>1.4</v>
      </c>
      <c r="F14" s="7" t="n">
        <v>0.2</v>
      </c>
      <c r="G14" s="37" t="n">
        <v>0</v>
      </c>
      <c r="I14" s="44">
        <f>I13</f>
        <v/>
      </c>
      <c r="J14" s="46">
        <f>J13</f>
        <v/>
      </c>
      <c r="K14" s="46">
        <f>K13</f>
        <v/>
      </c>
      <c r="L14" s="46">
        <f>L13</f>
        <v/>
      </c>
      <c r="M14" s="46">
        <f>M13</f>
        <v/>
      </c>
      <c r="N14" s="46">
        <f>I14+J14*C14+K14*D14+L14*E14+F14*M14</f>
        <v/>
      </c>
      <c r="O14" s="46">
        <f>1/(1+EXP(-N14))</f>
        <v/>
      </c>
      <c r="P14" s="47">
        <f>IF(O14&gt;0.5,1,0)</f>
        <v/>
      </c>
      <c r="Q14" s="47">
        <f>O14-G14</f>
        <v/>
      </c>
      <c r="R14" s="48">
        <f>Q14^2</f>
        <v/>
      </c>
      <c r="S14">
        <f>IF(P14=G14,1,0)</f>
        <v/>
      </c>
    </row>
    <row r="15" ht="14.25" customHeight="1" s="96">
      <c r="A15" s="114" t="n"/>
      <c r="B15" s="33" t="n">
        <v>9</v>
      </c>
      <c r="C15" s="4" t="n">
        <v>5.3</v>
      </c>
      <c r="D15" s="7" t="n">
        <v>3.7</v>
      </c>
      <c r="E15" s="7" t="n">
        <v>1.5</v>
      </c>
      <c r="F15" s="7" t="n">
        <v>0.2</v>
      </c>
      <c r="G15" s="37" t="n">
        <v>0</v>
      </c>
      <c r="I15" s="44">
        <f>I14</f>
        <v/>
      </c>
      <c r="J15" s="46">
        <f>J14</f>
        <v/>
      </c>
      <c r="K15" s="46">
        <f>K14</f>
        <v/>
      </c>
      <c r="L15" s="46">
        <f>L14</f>
        <v/>
      </c>
      <c r="M15" s="46">
        <f>M14</f>
        <v/>
      </c>
      <c r="N15" s="46">
        <f>I15+J15*C15+K15*D15+L15*E15+F15*M15</f>
        <v/>
      </c>
      <c r="O15" s="46">
        <f>1/(1+EXP(-N15))</f>
        <v/>
      </c>
      <c r="P15" s="47">
        <f>IF(O15&gt;0.5,1,0)</f>
        <v/>
      </c>
      <c r="Q15" s="47">
        <f>O15-G15</f>
        <v/>
      </c>
      <c r="R15" s="48">
        <f>Q15^2</f>
        <v/>
      </c>
      <c r="S15">
        <f>IF(P15=G15,1,0)</f>
        <v/>
      </c>
    </row>
    <row r="16" ht="14.25" customHeight="1" s="96">
      <c r="A16" s="114" t="n"/>
      <c r="B16" s="44" t="n">
        <v>10</v>
      </c>
      <c r="C16" s="4" t="n">
        <v>5</v>
      </c>
      <c r="D16" s="7" t="n">
        <v>3.3</v>
      </c>
      <c r="E16" s="7" t="n">
        <v>1.4</v>
      </c>
      <c r="F16" s="7" t="n">
        <v>0.2</v>
      </c>
      <c r="G16" s="37" t="n">
        <v>0</v>
      </c>
      <c r="I16" s="44">
        <f>I15</f>
        <v/>
      </c>
      <c r="J16" s="46">
        <f>J15</f>
        <v/>
      </c>
      <c r="K16" s="46">
        <f>K15</f>
        <v/>
      </c>
      <c r="L16" s="46">
        <f>L15</f>
        <v/>
      </c>
      <c r="M16" s="46">
        <f>M15</f>
        <v/>
      </c>
      <c r="N16" s="46">
        <f>I16+J16*C16+K16*D16+L16*E16+F16*M16</f>
        <v/>
      </c>
      <c r="O16" s="46">
        <f>1/(1+EXP(-N16))</f>
        <v/>
      </c>
      <c r="P16" s="47">
        <f>IF(O16&gt;0.5,1,0)</f>
        <v/>
      </c>
      <c r="Q16" s="47">
        <f>O16-G16</f>
        <v/>
      </c>
      <c r="R16" s="48">
        <f>Q16^2</f>
        <v/>
      </c>
      <c r="S16">
        <f>IF(P16=G16,1,0)</f>
        <v/>
      </c>
    </row>
    <row r="17" ht="14.25" customHeight="1" s="96">
      <c r="A17" s="114" t="n"/>
      <c r="B17" s="33" t="n">
        <v>11</v>
      </c>
      <c r="C17" s="4" t="n">
        <v>5.5</v>
      </c>
      <c r="D17" s="7" t="n">
        <v>2.6</v>
      </c>
      <c r="E17" s="7" t="n">
        <v>4.4</v>
      </c>
      <c r="F17" s="7" t="n">
        <v>1.2</v>
      </c>
      <c r="G17" s="37" t="n">
        <v>1</v>
      </c>
      <c r="I17" s="44">
        <f>I16</f>
        <v/>
      </c>
      <c r="J17" s="46">
        <f>J16</f>
        <v/>
      </c>
      <c r="K17" s="46">
        <f>K16</f>
        <v/>
      </c>
      <c r="L17" s="46">
        <f>L16</f>
        <v/>
      </c>
      <c r="M17" s="46">
        <f>M16</f>
        <v/>
      </c>
      <c r="N17" s="46">
        <f>I17+J17*C17+K17*D17+L17*E17+F17*M17</f>
        <v/>
      </c>
      <c r="O17" s="46">
        <f>1/(1+EXP(-N17))</f>
        <v/>
      </c>
      <c r="P17" s="47">
        <f>IF(O17&gt;0.5,1,0)</f>
        <v/>
      </c>
      <c r="Q17" s="47">
        <f>O17-G17</f>
        <v/>
      </c>
      <c r="R17" s="48">
        <f>Q17^2</f>
        <v/>
      </c>
      <c r="S17">
        <f>IF(P17=G17,1,0)</f>
        <v/>
      </c>
    </row>
    <row r="18" ht="14.25" customHeight="1" s="96">
      <c r="A18" s="114" t="n"/>
      <c r="B18" s="44" t="n">
        <v>12</v>
      </c>
      <c r="C18" s="4" t="n">
        <v>6.1</v>
      </c>
      <c r="D18" s="7" t="n">
        <v>3</v>
      </c>
      <c r="E18" s="7" t="n">
        <v>4.6</v>
      </c>
      <c r="F18" s="7" t="n">
        <v>1.4</v>
      </c>
      <c r="G18" s="37" t="n">
        <v>1</v>
      </c>
      <c r="I18" s="44">
        <f>I17</f>
        <v/>
      </c>
      <c r="J18" s="46">
        <f>J17</f>
        <v/>
      </c>
      <c r="K18" s="46">
        <f>K17</f>
        <v/>
      </c>
      <c r="L18" s="46">
        <f>L17</f>
        <v/>
      </c>
      <c r="M18" s="46">
        <f>M17</f>
        <v/>
      </c>
      <c r="N18" s="46">
        <f>I18+J18*C18+K18*D18+L18*E18+F18*M18</f>
        <v/>
      </c>
      <c r="O18" s="46">
        <f>1/(1+EXP(-N18))</f>
        <v/>
      </c>
      <c r="P18" s="47">
        <f>IF(O18&gt;0.5,1,0)</f>
        <v/>
      </c>
      <c r="Q18" s="47">
        <f>O18-G18</f>
        <v/>
      </c>
      <c r="R18" s="48">
        <f>Q18^2</f>
        <v/>
      </c>
      <c r="S18">
        <f>IF(P18=G18,1,0)</f>
        <v/>
      </c>
    </row>
    <row r="19" ht="14.25" customHeight="1" s="96">
      <c r="A19" s="114" t="n"/>
      <c r="B19" s="33" t="n">
        <v>13</v>
      </c>
      <c r="C19" s="4" t="n">
        <v>5.8</v>
      </c>
      <c r="D19" s="7" t="n">
        <v>2.6</v>
      </c>
      <c r="E19" s="7" t="n">
        <v>4</v>
      </c>
      <c r="F19" s="7" t="n">
        <v>1.2</v>
      </c>
      <c r="G19" s="37" t="n">
        <v>1</v>
      </c>
      <c r="I19" s="44">
        <f>I18</f>
        <v/>
      </c>
      <c r="J19" s="46">
        <f>J18</f>
        <v/>
      </c>
      <c r="K19" s="46">
        <f>K18</f>
        <v/>
      </c>
      <c r="L19" s="46">
        <f>L18</f>
        <v/>
      </c>
      <c r="M19" s="46">
        <f>M18</f>
        <v/>
      </c>
      <c r="N19" s="46">
        <f>I19+J19*C19+K19*D19+L19*E19+F19*M19</f>
        <v/>
      </c>
      <c r="O19" s="46">
        <f>1/(1+EXP(-N19))</f>
        <v/>
      </c>
      <c r="P19" s="47">
        <f>IF(O19&gt;0.5,1,0)</f>
        <v/>
      </c>
      <c r="Q19" s="47">
        <f>O19-G19</f>
        <v/>
      </c>
      <c r="R19" s="48">
        <f>Q19^2</f>
        <v/>
      </c>
      <c r="S19">
        <f>IF(P19=G19,1,0)</f>
        <v/>
      </c>
    </row>
    <row r="20" ht="14.25" customHeight="1" s="96">
      <c r="A20" s="114" t="n"/>
      <c r="B20" s="44" t="n">
        <v>14</v>
      </c>
      <c r="C20" s="4" t="n">
        <v>5</v>
      </c>
      <c r="D20" s="7" t="n">
        <v>2.3</v>
      </c>
      <c r="E20" s="7" t="n">
        <v>3.3</v>
      </c>
      <c r="F20" s="7" t="n">
        <v>1</v>
      </c>
      <c r="G20" s="37" t="n">
        <v>1</v>
      </c>
      <c r="I20" s="44">
        <f>I19</f>
        <v/>
      </c>
      <c r="J20" s="46">
        <f>J19</f>
        <v/>
      </c>
      <c r="K20" s="46">
        <f>K19</f>
        <v/>
      </c>
      <c r="L20" s="46">
        <f>L19</f>
        <v/>
      </c>
      <c r="M20" s="46">
        <f>M19</f>
        <v/>
      </c>
      <c r="N20" s="46">
        <f>I20+J20*C20+K20*D20+L20*E20+F20*M20</f>
        <v/>
      </c>
      <c r="O20" s="46">
        <f>1/(1+EXP(-N20))</f>
        <v/>
      </c>
      <c r="P20" s="47">
        <f>IF(O20&gt;0.5,1,0)</f>
        <v/>
      </c>
      <c r="Q20" s="47">
        <f>O20-G20</f>
        <v/>
      </c>
      <c r="R20" s="48">
        <f>Q20^2</f>
        <v/>
      </c>
      <c r="S20">
        <f>IF(P20=G20,1,0)</f>
        <v/>
      </c>
    </row>
    <row r="21" ht="14.25" customHeight="1" s="96">
      <c r="A21" s="114" t="n"/>
      <c r="B21" s="33" t="n">
        <v>15</v>
      </c>
      <c r="C21" s="4" t="n">
        <v>5.6</v>
      </c>
      <c r="D21" s="7" t="n">
        <v>2.7</v>
      </c>
      <c r="E21" s="7" t="n">
        <v>4.2</v>
      </c>
      <c r="F21" s="7" t="n">
        <v>1.3</v>
      </c>
      <c r="G21" s="37" t="n">
        <v>1</v>
      </c>
      <c r="I21" s="44">
        <f>I20</f>
        <v/>
      </c>
      <c r="J21" s="46">
        <f>J20</f>
        <v/>
      </c>
      <c r="K21" s="46">
        <f>K20</f>
        <v/>
      </c>
      <c r="L21" s="46">
        <f>L20</f>
        <v/>
      </c>
      <c r="M21" s="46">
        <f>M20</f>
        <v/>
      </c>
      <c r="N21" s="46">
        <f>I21+J21*C21+K21*D21+L21*E21+F21*M21</f>
        <v/>
      </c>
      <c r="O21" s="46">
        <f>1/(1+EXP(-N21))</f>
        <v/>
      </c>
      <c r="P21" s="47">
        <f>IF(O21&gt;0.5,1,0)</f>
        <v/>
      </c>
      <c r="Q21" s="47">
        <f>O21-G21</f>
        <v/>
      </c>
      <c r="R21" s="48">
        <f>Q21^2</f>
        <v/>
      </c>
      <c r="S21">
        <f>IF(P21=G21,1,0)</f>
        <v/>
      </c>
    </row>
    <row r="22" ht="14.25" customHeight="1" s="96">
      <c r="A22" s="114" t="n"/>
      <c r="B22" s="44" t="n">
        <v>16</v>
      </c>
      <c r="C22" s="4" t="n">
        <v>5.7</v>
      </c>
      <c r="D22" s="7" t="n">
        <v>3</v>
      </c>
      <c r="E22" s="7" t="n">
        <v>4.2</v>
      </c>
      <c r="F22" s="7" t="n">
        <v>1.2</v>
      </c>
      <c r="G22" s="37" t="n">
        <v>1</v>
      </c>
      <c r="I22" s="44">
        <f>I21</f>
        <v/>
      </c>
      <c r="J22" s="46">
        <f>J21</f>
        <v/>
      </c>
      <c r="K22" s="46">
        <f>K21</f>
        <v/>
      </c>
      <c r="L22" s="46">
        <f>L21</f>
        <v/>
      </c>
      <c r="M22" s="46">
        <f>M21</f>
        <v/>
      </c>
      <c r="N22" s="46">
        <f>I22+J22*C22+K22*D22+L22*E22+F22*M22</f>
        <v/>
      </c>
      <c r="O22" s="46">
        <f>1/(1+EXP(-N22))</f>
        <v/>
      </c>
      <c r="P22" s="47">
        <f>IF(O22&gt;0.5,1,0)</f>
        <v/>
      </c>
      <c r="Q22" s="47">
        <f>O22-G22</f>
        <v/>
      </c>
      <c r="R22" s="48">
        <f>Q22^2</f>
        <v/>
      </c>
      <c r="S22">
        <f>IF(P22=G22,1,0)</f>
        <v/>
      </c>
    </row>
    <row r="23" ht="14.25" customHeight="1" s="96">
      <c r="A23" s="114" t="n"/>
      <c r="B23" s="33" t="n">
        <v>17</v>
      </c>
      <c r="C23" s="4" t="n">
        <v>5.7</v>
      </c>
      <c r="D23" s="7" t="n">
        <v>2.9</v>
      </c>
      <c r="E23" s="7" t="n">
        <v>4.2</v>
      </c>
      <c r="F23" s="7" t="n">
        <v>1.3</v>
      </c>
      <c r="G23" s="37" t="n">
        <v>1</v>
      </c>
      <c r="I23" s="44">
        <f>I22</f>
        <v/>
      </c>
      <c r="J23" s="46">
        <f>J22</f>
        <v/>
      </c>
      <c r="K23" s="46">
        <f>K22</f>
        <v/>
      </c>
      <c r="L23" s="46">
        <f>L22</f>
        <v/>
      </c>
      <c r="M23" s="46">
        <f>M22</f>
        <v/>
      </c>
      <c r="N23" s="46">
        <f>I23+J23*C23+K23*D23+L23*E23+F23*M23</f>
        <v/>
      </c>
      <c r="O23" s="46">
        <f>1/(1+EXP(-N23))</f>
        <v/>
      </c>
      <c r="P23" s="47">
        <f>IF(O23&gt;0.5,1,0)</f>
        <v/>
      </c>
      <c r="Q23" s="47">
        <f>O23-G23</f>
        <v/>
      </c>
      <c r="R23" s="48">
        <f>Q23^2</f>
        <v/>
      </c>
      <c r="S23">
        <f>IF(P23=G23,1,0)</f>
        <v/>
      </c>
    </row>
    <row r="24" ht="14.25" customHeight="1" s="96">
      <c r="A24" s="114" t="n"/>
      <c r="B24" s="44" t="n">
        <v>18</v>
      </c>
      <c r="C24" s="4" t="n">
        <v>6.2</v>
      </c>
      <c r="D24" s="7" t="n">
        <v>2.9</v>
      </c>
      <c r="E24" s="7" t="n">
        <v>4.3</v>
      </c>
      <c r="F24" s="7" t="n">
        <v>1.3</v>
      </c>
      <c r="G24" s="37" t="n">
        <v>1</v>
      </c>
      <c r="I24" s="44">
        <f>I23</f>
        <v/>
      </c>
      <c r="J24" s="46">
        <f>J23</f>
        <v/>
      </c>
      <c r="K24" s="46">
        <f>K23</f>
        <v/>
      </c>
      <c r="L24" s="46">
        <f>L23</f>
        <v/>
      </c>
      <c r="M24" s="46">
        <f>M23</f>
        <v/>
      </c>
      <c r="N24" s="46">
        <f>I24+J24*C24+K24*D24+L24*E24+F24*M24</f>
        <v/>
      </c>
      <c r="O24" s="46">
        <f>1/(1+EXP(-N24))</f>
        <v/>
      </c>
      <c r="P24" s="47">
        <f>IF(O24&gt;0.5,1,0)</f>
        <v/>
      </c>
      <c r="Q24" s="47">
        <f>O24-G24</f>
        <v/>
      </c>
      <c r="R24" s="48">
        <f>Q24^2</f>
        <v/>
      </c>
      <c r="S24">
        <f>IF(P24=G24,1,0)</f>
        <v/>
      </c>
    </row>
    <row r="25" ht="14.25" customHeight="1" s="96">
      <c r="A25" s="114" t="n"/>
      <c r="B25" s="33" t="n">
        <v>19</v>
      </c>
      <c r="C25" s="4" t="n">
        <v>5.1</v>
      </c>
      <c r="D25" s="7" t="n">
        <v>2.5</v>
      </c>
      <c r="E25" s="7" t="n">
        <v>3</v>
      </c>
      <c r="F25" s="7" t="n">
        <v>1.1</v>
      </c>
      <c r="G25" s="37" t="n">
        <v>1</v>
      </c>
      <c r="I25" s="44">
        <f>I24</f>
        <v/>
      </c>
      <c r="J25" s="46">
        <f>J24</f>
        <v/>
      </c>
      <c r="K25" s="46">
        <f>K24</f>
        <v/>
      </c>
      <c r="L25" s="46">
        <f>L24</f>
        <v/>
      </c>
      <c r="M25" s="46">
        <f>M24</f>
        <v/>
      </c>
      <c r="N25" s="46">
        <f>I25+J25*C25+K25*D25+L25*E25+F25*M25</f>
        <v/>
      </c>
      <c r="O25" s="46">
        <f>1/(1+EXP(-N25))</f>
        <v/>
      </c>
      <c r="P25" s="47">
        <f>IF(O25&gt;0.5,1,0)</f>
        <v/>
      </c>
      <c r="Q25" s="47">
        <f>O25-G25</f>
        <v/>
      </c>
      <c r="R25" s="48">
        <f>Q25^2</f>
        <v/>
      </c>
      <c r="S25">
        <f>IF(P25=G25,1,0)</f>
        <v/>
      </c>
    </row>
    <row r="26" ht="14.25" customHeight="1" s="96">
      <c r="A26" s="114" t="n"/>
      <c r="B26" s="44" t="n">
        <v>20</v>
      </c>
      <c r="C26" s="4" t="n">
        <v>5.7</v>
      </c>
      <c r="D26" s="7" t="n">
        <v>2.8</v>
      </c>
      <c r="E26" s="7" t="n">
        <v>4.1</v>
      </c>
      <c r="F26" s="7" t="n">
        <v>1.3</v>
      </c>
      <c r="G26" s="37" t="n">
        <v>1</v>
      </c>
      <c r="I26" s="44">
        <f>I25</f>
        <v/>
      </c>
      <c r="J26" s="46">
        <f>J25</f>
        <v/>
      </c>
      <c r="K26" s="46">
        <f>K25</f>
        <v/>
      </c>
      <c r="L26" s="46">
        <f>L25</f>
        <v/>
      </c>
      <c r="M26" s="46">
        <f>M25</f>
        <v/>
      </c>
      <c r="N26" s="46">
        <f>I26+J26*C26+K26*D26+L26*E26+F26*M26</f>
        <v/>
      </c>
      <c r="O26" s="46">
        <f>1/(1+EXP(-N26))</f>
        <v/>
      </c>
      <c r="P26" s="47">
        <f>IF(O26&gt;0.5,1,0)</f>
        <v/>
      </c>
      <c r="Q26" s="47">
        <f>O26-G26</f>
        <v/>
      </c>
      <c r="R26" s="48">
        <f>Q26^2</f>
        <v/>
      </c>
      <c r="S26">
        <f>IF(P26=G26,1,0)</f>
        <v/>
      </c>
    </row>
    <row r="27" ht="14.25" customHeight="1" s="96">
      <c r="A27" s="116" t="inlineStr">
        <is>
          <t>epoch 2</t>
        </is>
      </c>
      <c r="B27" s="55" t="n">
        <v>1</v>
      </c>
      <c r="C27" s="56" t="n">
        <v>5</v>
      </c>
      <c r="D27" s="57" t="n">
        <v>3.5</v>
      </c>
      <c r="E27" s="57" t="n">
        <v>1.3</v>
      </c>
      <c r="F27" s="57" t="n">
        <v>0.3</v>
      </c>
      <c r="G27" s="58" t="n">
        <v>0</v>
      </c>
      <c r="H27" s="59" t="n"/>
      <c r="I27" s="60">
        <f>'SLP-Training'!$AC$6</f>
        <v/>
      </c>
      <c r="J27" s="61">
        <f>'SLP-Training'!$AD$6</f>
        <v/>
      </c>
      <c r="K27" s="61">
        <f>'SLP-Training'!$AE$6</f>
        <v/>
      </c>
      <c r="L27" s="61">
        <f>'SLP-Training'!$AF$6</f>
        <v/>
      </c>
      <c r="M27" s="61">
        <f>'SLP-Training'!$AG$6</f>
        <v/>
      </c>
      <c r="N27" s="61">
        <f>I27+J27*C27+K27*D27+L27*E27+F27*M27</f>
        <v/>
      </c>
      <c r="O27" s="61">
        <f>1/(1+EXP(-N27))</f>
        <v/>
      </c>
      <c r="P27" s="62">
        <f>IF(O27&gt;0.5,1,0)</f>
        <v/>
      </c>
      <c r="Q27" s="62">
        <f>O27-G27</f>
        <v/>
      </c>
      <c r="R27" s="63">
        <f>Q27^2</f>
        <v/>
      </c>
      <c r="S27">
        <f>IF(P27=G27,1,0)</f>
        <v/>
      </c>
    </row>
    <row r="28" ht="14.25" customHeight="1" s="96">
      <c r="A28" s="117" t="n"/>
      <c r="B28" s="65" t="n">
        <v>2</v>
      </c>
      <c r="C28" s="56" t="n">
        <v>4.5</v>
      </c>
      <c r="D28" s="57" t="n">
        <v>2.3</v>
      </c>
      <c r="E28" s="57" t="n">
        <v>1.3</v>
      </c>
      <c r="F28" s="57" t="n">
        <v>0.3</v>
      </c>
      <c r="G28" s="58" t="n">
        <v>0</v>
      </c>
      <c r="H28" s="59" t="n"/>
      <c r="I28" s="66">
        <f>I27</f>
        <v/>
      </c>
      <c r="J28" s="67">
        <f>J27</f>
        <v/>
      </c>
      <c r="K28" s="67">
        <f>K27</f>
        <v/>
      </c>
      <c r="L28" s="67">
        <f>L27</f>
        <v/>
      </c>
      <c r="M28" s="67">
        <f>M27</f>
        <v/>
      </c>
      <c r="N28" s="67">
        <f>I28+J28*C28+K28*D28+L28*E28+F28*M28</f>
        <v/>
      </c>
      <c r="O28" s="67">
        <f>1/(1+EXP(-N28))</f>
        <v/>
      </c>
      <c r="P28" s="68">
        <f>IF(O28&gt;0.5,1,0)</f>
        <v/>
      </c>
      <c r="Q28" s="68">
        <f>O28-G28</f>
        <v/>
      </c>
      <c r="R28" s="69">
        <f>Q28^2</f>
        <v/>
      </c>
      <c r="S28">
        <f>IF(P28=G28,1,0)</f>
        <v/>
      </c>
    </row>
    <row r="29" ht="14.25" customHeight="1" s="96">
      <c r="A29" s="117" t="n"/>
      <c r="B29" s="55" t="n">
        <v>3</v>
      </c>
      <c r="C29" s="56" t="n">
        <v>4.4</v>
      </c>
      <c r="D29" s="57" t="n">
        <v>3.2</v>
      </c>
      <c r="E29" s="57" t="n">
        <v>1.3</v>
      </c>
      <c r="F29" s="57" t="n">
        <v>0.2</v>
      </c>
      <c r="G29" s="58" t="n">
        <v>0</v>
      </c>
      <c r="H29" s="59" t="n"/>
      <c r="I29" s="66">
        <f>I28</f>
        <v/>
      </c>
      <c r="J29" s="67">
        <f>J28</f>
        <v/>
      </c>
      <c r="K29" s="67">
        <f>K28</f>
        <v/>
      </c>
      <c r="L29" s="67">
        <f>L28</f>
        <v/>
      </c>
      <c r="M29" s="67">
        <f>M28</f>
        <v/>
      </c>
      <c r="N29" s="67">
        <f>I29+J29*C29+K29*D29+L29*E29+F29*M29</f>
        <v/>
      </c>
      <c r="O29" s="67">
        <f>1/(1+EXP(-N29))</f>
        <v/>
      </c>
      <c r="P29" s="68">
        <f>IF(O29&gt;0.5,1,0)</f>
        <v/>
      </c>
      <c r="Q29" s="68">
        <f>O29-G29</f>
        <v/>
      </c>
      <c r="R29" s="69">
        <f>Q29^2</f>
        <v/>
      </c>
      <c r="S29">
        <f>IF(P29=G29,1,0)</f>
        <v/>
      </c>
    </row>
    <row r="30" ht="14.25" customHeight="1" s="96">
      <c r="A30" s="117" t="n"/>
      <c r="B30" s="65" t="n">
        <v>4</v>
      </c>
      <c r="C30" s="56" t="n">
        <v>5</v>
      </c>
      <c r="D30" s="57" t="n">
        <v>3.5</v>
      </c>
      <c r="E30" s="57" t="n">
        <v>1.6</v>
      </c>
      <c r="F30" s="57" t="n">
        <v>0.6</v>
      </c>
      <c r="G30" s="58" t="n">
        <v>0</v>
      </c>
      <c r="H30" s="59" t="n"/>
      <c r="I30" s="66">
        <f>I29</f>
        <v/>
      </c>
      <c r="J30" s="67">
        <f>J29</f>
        <v/>
      </c>
      <c r="K30" s="67">
        <f>K29</f>
        <v/>
      </c>
      <c r="L30" s="67">
        <f>L29</f>
        <v/>
      </c>
      <c r="M30" s="67">
        <f>M29</f>
        <v/>
      </c>
      <c r="N30" s="67">
        <f>I30+J30*C30+K30*D30+L30*E30+F30*M30</f>
        <v/>
      </c>
      <c r="O30" s="67">
        <f>1/(1+EXP(-N30))</f>
        <v/>
      </c>
      <c r="P30" s="68">
        <f>IF(O30&gt;0.5,1,0)</f>
        <v/>
      </c>
      <c r="Q30" s="68">
        <f>O30-G30</f>
        <v/>
      </c>
      <c r="R30" s="69">
        <f>Q30^2</f>
        <v/>
      </c>
      <c r="S30">
        <f>IF(P30=G30,1,0)</f>
        <v/>
      </c>
    </row>
    <row r="31" ht="14.25" customHeight="1" s="96">
      <c r="A31" s="117" t="n"/>
      <c r="B31" s="55" t="n">
        <v>5</v>
      </c>
      <c r="C31" s="56" t="n">
        <v>5.1</v>
      </c>
      <c r="D31" s="57" t="n">
        <v>3.8</v>
      </c>
      <c r="E31" s="57" t="n">
        <v>1.9</v>
      </c>
      <c r="F31" s="57" t="n">
        <v>0.4</v>
      </c>
      <c r="G31" s="58" t="n">
        <v>0</v>
      </c>
      <c r="H31" s="59" t="n"/>
      <c r="I31" s="66">
        <f>I30</f>
        <v/>
      </c>
      <c r="J31" s="67">
        <f>J30</f>
        <v/>
      </c>
      <c r="K31" s="67">
        <f>K30</f>
        <v/>
      </c>
      <c r="L31" s="67">
        <f>L30</f>
        <v/>
      </c>
      <c r="M31" s="67">
        <f>M30</f>
        <v/>
      </c>
      <c r="N31" s="67">
        <f>I31+J31*C31+K31*D31+L31*E31+F31*M31</f>
        <v/>
      </c>
      <c r="O31" s="67">
        <f>1/(1+EXP(-N31))</f>
        <v/>
      </c>
      <c r="P31" s="68">
        <f>IF(O31&gt;0.5,1,0)</f>
        <v/>
      </c>
      <c r="Q31" s="68">
        <f>O31-G31</f>
        <v/>
      </c>
      <c r="R31" s="69">
        <f>Q31^2</f>
        <v/>
      </c>
      <c r="S31">
        <f>IF(P31=G31,1,0)</f>
        <v/>
      </c>
    </row>
    <row r="32" ht="14.25" customHeight="1" s="96">
      <c r="A32" s="117" t="n"/>
      <c r="B32" s="65" t="n">
        <v>6</v>
      </c>
      <c r="C32" s="56" t="n">
        <v>4.8</v>
      </c>
      <c r="D32" s="57" t="n">
        <v>3</v>
      </c>
      <c r="E32" s="57" t="n">
        <v>1.4</v>
      </c>
      <c r="F32" s="57" t="n">
        <v>0.3</v>
      </c>
      <c r="G32" s="58" t="n">
        <v>0</v>
      </c>
      <c r="H32" s="59" t="n"/>
      <c r="I32" s="66">
        <f>I31</f>
        <v/>
      </c>
      <c r="J32" s="67">
        <f>J31</f>
        <v/>
      </c>
      <c r="K32" s="67">
        <f>K31</f>
        <v/>
      </c>
      <c r="L32" s="67">
        <f>L31</f>
        <v/>
      </c>
      <c r="M32" s="67">
        <f>M31</f>
        <v/>
      </c>
      <c r="N32" s="67">
        <f>I32+J32*C32+K32*D32+L32*E32+F32*M32</f>
        <v/>
      </c>
      <c r="O32" s="67">
        <f>1/(1+EXP(-N32))</f>
        <v/>
      </c>
      <c r="P32" s="68">
        <f>IF(O32&gt;0.5,1,0)</f>
        <v/>
      </c>
      <c r="Q32" s="68">
        <f>O32-G32</f>
        <v/>
      </c>
      <c r="R32" s="69">
        <f>Q32^2</f>
        <v/>
      </c>
      <c r="S32">
        <f>IF(P32=G32,1,0)</f>
        <v/>
      </c>
    </row>
    <row r="33" ht="14.25" customHeight="1" s="96">
      <c r="A33" s="117" t="n"/>
      <c r="B33" s="55" t="n">
        <v>7</v>
      </c>
      <c r="C33" s="56" t="n">
        <v>5.1</v>
      </c>
      <c r="D33" s="57" t="n">
        <v>3.8</v>
      </c>
      <c r="E33" s="57" t="n">
        <v>1.6</v>
      </c>
      <c r="F33" s="57" t="n">
        <v>0.2</v>
      </c>
      <c r="G33" s="58" t="n">
        <v>0</v>
      </c>
      <c r="H33" s="59" t="n"/>
      <c r="I33" s="66">
        <f>I32</f>
        <v/>
      </c>
      <c r="J33" s="67">
        <f>J32</f>
        <v/>
      </c>
      <c r="K33" s="67">
        <f>K32</f>
        <v/>
      </c>
      <c r="L33" s="67">
        <f>L32</f>
        <v/>
      </c>
      <c r="M33" s="67">
        <f>M32</f>
        <v/>
      </c>
      <c r="N33" s="67">
        <f>I33+J33*C33+K33*D33+L33*E33+F33*M33</f>
        <v/>
      </c>
      <c r="O33" s="67">
        <f>1/(1+EXP(-N33))</f>
        <v/>
      </c>
      <c r="P33" s="68">
        <f>IF(O33&gt;0.5,1,0)</f>
        <v/>
      </c>
      <c r="Q33" s="68">
        <f>O33-G33</f>
        <v/>
      </c>
      <c r="R33" s="69">
        <f>Q33^2</f>
        <v/>
      </c>
      <c r="S33">
        <f>IF(P33=G33,1,0)</f>
        <v/>
      </c>
    </row>
    <row r="34" ht="14.25" customHeight="1" s="96">
      <c r="A34" s="117" t="n"/>
      <c r="B34" s="65" t="n">
        <v>8</v>
      </c>
      <c r="C34" s="56" t="n">
        <v>4.6</v>
      </c>
      <c r="D34" s="57" t="n">
        <v>3.2</v>
      </c>
      <c r="E34" s="57" t="n">
        <v>1.4</v>
      </c>
      <c r="F34" s="57" t="n">
        <v>0.2</v>
      </c>
      <c r="G34" s="58" t="n">
        <v>0</v>
      </c>
      <c r="H34" s="59" t="n"/>
      <c r="I34" s="66">
        <f>I33</f>
        <v/>
      </c>
      <c r="J34" s="67">
        <f>J33</f>
        <v/>
      </c>
      <c r="K34" s="67">
        <f>K33</f>
        <v/>
      </c>
      <c r="L34" s="67">
        <f>L33</f>
        <v/>
      </c>
      <c r="M34" s="67">
        <f>M33</f>
        <v/>
      </c>
      <c r="N34" s="67">
        <f>I34+J34*C34+K34*D34+L34*E34+F34*M34</f>
        <v/>
      </c>
      <c r="O34" s="67">
        <f>1/(1+EXP(-N34))</f>
        <v/>
      </c>
      <c r="P34" s="68">
        <f>IF(O34&gt;0.5,1,0)</f>
        <v/>
      </c>
      <c r="Q34" s="68">
        <f>O34-G34</f>
        <v/>
      </c>
      <c r="R34" s="69">
        <f>Q34^2</f>
        <v/>
      </c>
      <c r="S34">
        <f>IF(P34=G34,1,0)</f>
        <v/>
      </c>
    </row>
    <row r="35" ht="14.25" customHeight="1" s="96">
      <c r="A35" s="117" t="n"/>
      <c r="B35" s="55" t="n">
        <v>9</v>
      </c>
      <c r="C35" s="56" t="n">
        <v>5.3</v>
      </c>
      <c r="D35" s="57" t="n">
        <v>3.7</v>
      </c>
      <c r="E35" s="57" t="n">
        <v>1.5</v>
      </c>
      <c r="F35" s="57" t="n">
        <v>0.2</v>
      </c>
      <c r="G35" s="58" t="n">
        <v>0</v>
      </c>
      <c r="H35" s="59" t="n"/>
      <c r="I35" s="66">
        <f>I34</f>
        <v/>
      </c>
      <c r="J35" s="67">
        <f>J34</f>
        <v/>
      </c>
      <c r="K35" s="67">
        <f>K34</f>
        <v/>
      </c>
      <c r="L35" s="67">
        <f>L34</f>
        <v/>
      </c>
      <c r="M35" s="67">
        <f>M34</f>
        <v/>
      </c>
      <c r="N35" s="67">
        <f>I35+J35*C35+K35*D35+L35*E35+F35*M35</f>
        <v/>
      </c>
      <c r="O35" s="67">
        <f>1/(1+EXP(-N35))</f>
        <v/>
      </c>
      <c r="P35" s="68">
        <f>IF(O35&gt;0.5,1,0)</f>
        <v/>
      </c>
      <c r="Q35" s="68">
        <f>O35-G35</f>
        <v/>
      </c>
      <c r="R35" s="69">
        <f>Q35^2</f>
        <v/>
      </c>
      <c r="S35">
        <f>IF(P35=G35,1,0)</f>
        <v/>
      </c>
    </row>
    <row r="36" ht="14.25" customHeight="1" s="96">
      <c r="A36" s="117" t="n"/>
      <c r="B36" s="65" t="n">
        <v>10</v>
      </c>
      <c r="C36" s="56" t="n">
        <v>5</v>
      </c>
      <c r="D36" s="57" t="n">
        <v>3.3</v>
      </c>
      <c r="E36" s="57" t="n">
        <v>1.4</v>
      </c>
      <c r="F36" s="57" t="n">
        <v>0.2</v>
      </c>
      <c r="G36" s="58" t="n">
        <v>0</v>
      </c>
      <c r="H36" s="59" t="n"/>
      <c r="I36" s="66">
        <f>I35</f>
        <v/>
      </c>
      <c r="J36" s="67">
        <f>J35</f>
        <v/>
      </c>
      <c r="K36" s="67">
        <f>K35</f>
        <v/>
      </c>
      <c r="L36" s="67">
        <f>L35</f>
        <v/>
      </c>
      <c r="M36" s="67">
        <f>M35</f>
        <v/>
      </c>
      <c r="N36" s="67">
        <f>I36+J36*C36+K36*D36+L36*E36+F36*M36</f>
        <v/>
      </c>
      <c r="O36" s="67">
        <f>1/(1+EXP(-N36))</f>
        <v/>
      </c>
      <c r="P36" s="68">
        <f>IF(O36&gt;0.5,1,0)</f>
        <v/>
      </c>
      <c r="Q36" s="68">
        <f>O36-G36</f>
        <v/>
      </c>
      <c r="R36" s="69">
        <f>Q36^2</f>
        <v/>
      </c>
      <c r="S36">
        <f>IF(P36=G36,1,0)</f>
        <v/>
      </c>
    </row>
    <row r="37" ht="14.25" customHeight="1" s="96">
      <c r="A37" s="117" t="n"/>
      <c r="B37" s="55" t="n">
        <v>11</v>
      </c>
      <c r="C37" s="56" t="n">
        <v>5.5</v>
      </c>
      <c r="D37" s="57" t="n">
        <v>2.6</v>
      </c>
      <c r="E37" s="57" t="n">
        <v>4.4</v>
      </c>
      <c r="F37" s="57" t="n">
        <v>1.2</v>
      </c>
      <c r="G37" s="58" t="n">
        <v>1</v>
      </c>
      <c r="H37" s="59" t="n"/>
      <c r="I37" s="66">
        <f>I36</f>
        <v/>
      </c>
      <c r="J37" s="67">
        <f>J36</f>
        <v/>
      </c>
      <c r="K37" s="67">
        <f>K36</f>
        <v/>
      </c>
      <c r="L37" s="67">
        <f>L36</f>
        <v/>
      </c>
      <c r="M37" s="67">
        <f>M36</f>
        <v/>
      </c>
      <c r="N37" s="67">
        <f>I37+J37*C37+K37*D37+L37*E37+F37*M37</f>
        <v/>
      </c>
      <c r="O37" s="67">
        <f>1/(1+EXP(-N37))</f>
        <v/>
      </c>
      <c r="P37" s="68">
        <f>IF(O37&gt;0.5,1,0)</f>
        <v/>
      </c>
      <c r="Q37" s="68">
        <f>O37-G37</f>
        <v/>
      </c>
      <c r="R37" s="69">
        <f>Q37^2</f>
        <v/>
      </c>
      <c r="S37">
        <f>IF(P37=G37,1,0)</f>
        <v/>
      </c>
    </row>
    <row r="38" ht="14.25" customHeight="1" s="96">
      <c r="A38" s="117" t="n"/>
      <c r="B38" s="65" t="n">
        <v>12</v>
      </c>
      <c r="C38" s="56" t="n">
        <v>6.1</v>
      </c>
      <c r="D38" s="57" t="n">
        <v>3</v>
      </c>
      <c r="E38" s="57" t="n">
        <v>4.6</v>
      </c>
      <c r="F38" s="57" t="n">
        <v>1.4</v>
      </c>
      <c r="G38" s="58" t="n">
        <v>1</v>
      </c>
      <c r="H38" s="59" t="n"/>
      <c r="I38" s="66">
        <f>I37</f>
        <v/>
      </c>
      <c r="J38" s="67">
        <f>J37</f>
        <v/>
      </c>
      <c r="K38" s="67">
        <f>K37</f>
        <v/>
      </c>
      <c r="L38" s="67">
        <f>L37</f>
        <v/>
      </c>
      <c r="M38" s="67">
        <f>M37</f>
        <v/>
      </c>
      <c r="N38" s="67">
        <f>I38+J38*C38+K38*D38+L38*E38+F38*M38</f>
        <v/>
      </c>
      <c r="O38" s="67">
        <f>1/(1+EXP(-N38))</f>
        <v/>
      </c>
      <c r="P38" s="68">
        <f>IF(O38&gt;0.5,1,0)</f>
        <v/>
      </c>
      <c r="Q38" s="68">
        <f>O38-G38</f>
        <v/>
      </c>
      <c r="R38" s="69">
        <f>Q38^2</f>
        <v/>
      </c>
      <c r="S38">
        <f>IF(P38=G38,1,0)</f>
        <v/>
      </c>
    </row>
    <row r="39" ht="14.25" customHeight="1" s="96">
      <c r="A39" s="117" t="n"/>
      <c r="B39" s="55" t="n">
        <v>13</v>
      </c>
      <c r="C39" s="56" t="n">
        <v>5.8</v>
      </c>
      <c r="D39" s="57" t="n">
        <v>2.6</v>
      </c>
      <c r="E39" s="57" t="n">
        <v>4</v>
      </c>
      <c r="F39" s="57" t="n">
        <v>1.2</v>
      </c>
      <c r="G39" s="58" t="n">
        <v>1</v>
      </c>
      <c r="H39" s="59" t="n"/>
      <c r="I39" s="66">
        <f>I38</f>
        <v/>
      </c>
      <c r="J39" s="67">
        <f>J38</f>
        <v/>
      </c>
      <c r="K39" s="67">
        <f>K38</f>
        <v/>
      </c>
      <c r="L39" s="67">
        <f>L38</f>
        <v/>
      </c>
      <c r="M39" s="67">
        <f>M38</f>
        <v/>
      </c>
      <c r="N39" s="67">
        <f>I39+J39*C39+K39*D39+L39*E39+F39*M39</f>
        <v/>
      </c>
      <c r="O39" s="67">
        <f>1/(1+EXP(-N39))</f>
        <v/>
      </c>
      <c r="P39" s="68">
        <f>IF(O39&gt;0.5,1,0)</f>
        <v/>
      </c>
      <c r="Q39" s="68">
        <f>O39-G39</f>
        <v/>
      </c>
      <c r="R39" s="69">
        <f>Q39^2</f>
        <v/>
      </c>
      <c r="S39">
        <f>IF(P39=G39,1,0)</f>
        <v/>
      </c>
    </row>
    <row r="40" ht="14.25" customHeight="1" s="96">
      <c r="A40" s="117" t="n"/>
      <c r="B40" s="65" t="n">
        <v>14</v>
      </c>
      <c r="C40" s="56" t="n">
        <v>5</v>
      </c>
      <c r="D40" s="57" t="n">
        <v>2.3</v>
      </c>
      <c r="E40" s="57" t="n">
        <v>3.3</v>
      </c>
      <c r="F40" s="57" t="n">
        <v>1</v>
      </c>
      <c r="G40" s="58" t="n">
        <v>1</v>
      </c>
      <c r="H40" s="59" t="n"/>
      <c r="I40" s="66">
        <f>I39</f>
        <v/>
      </c>
      <c r="J40" s="67">
        <f>J39</f>
        <v/>
      </c>
      <c r="K40" s="67">
        <f>K39</f>
        <v/>
      </c>
      <c r="L40" s="67">
        <f>L39</f>
        <v/>
      </c>
      <c r="M40" s="67">
        <f>M39</f>
        <v/>
      </c>
      <c r="N40" s="67">
        <f>I40+J40*C40+K40*D40+L40*E40+F40*M40</f>
        <v/>
      </c>
      <c r="O40" s="67">
        <f>1/(1+EXP(-N40))</f>
        <v/>
      </c>
      <c r="P40" s="68">
        <f>IF(O40&gt;0.5,1,0)</f>
        <v/>
      </c>
      <c r="Q40" s="68">
        <f>O40-G40</f>
        <v/>
      </c>
      <c r="R40" s="69">
        <f>Q40^2</f>
        <v/>
      </c>
      <c r="S40">
        <f>IF(P40=G40,1,0)</f>
        <v/>
      </c>
    </row>
    <row r="41" ht="14.25" customHeight="1" s="96">
      <c r="A41" s="117" t="n"/>
      <c r="B41" s="55" t="n">
        <v>15</v>
      </c>
      <c r="C41" s="56" t="n">
        <v>5.6</v>
      </c>
      <c r="D41" s="57" t="n">
        <v>2.7</v>
      </c>
      <c r="E41" s="57" t="n">
        <v>4.2</v>
      </c>
      <c r="F41" s="57" t="n">
        <v>1.3</v>
      </c>
      <c r="G41" s="58" t="n">
        <v>1</v>
      </c>
      <c r="H41" s="59" t="n"/>
      <c r="I41" s="66">
        <f>I40</f>
        <v/>
      </c>
      <c r="J41" s="67">
        <f>J40</f>
        <v/>
      </c>
      <c r="K41" s="67">
        <f>K40</f>
        <v/>
      </c>
      <c r="L41" s="67">
        <f>L40</f>
        <v/>
      </c>
      <c r="M41" s="67">
        <f>M40</f>
        <v/>
      </c>
      <c r="N41" s="67">
        <f>I41+J41*C41+K41*D41+L41*E41+F41*M41</f>
        <v/>
      </c>
      <c r="O41" s="67">
        <f>1/(1+EXP(-N41))</f>
        <v/>
      </c>
      <c r="P41" s="68">
        <f>IF(O41&gt;0.5,1,0)</f>
        <v/>
      </c>
      <c r="Q41" s="68">
        <f>O41-G41</f>
        <v/>
      </c>
      <c r="R41" s="69">
        <f>Q41^2</f>
        <v/>
      </c>
      <c r="S41">
        <f>IF(P41=G41,1,0)</f>
        <v/>
      </c>
    </row>
    <row r="42" ht="14.25" customHeight="1" s="96">
      <c r="A42" s="117" t="n"/>
      <c r="B42" s="65" t="n">
        <v>16</v>
      </c>
      <c r="C42" s="56" t="n">
        <v>5.7</v>
      </c>
      <c r="D42" s="57" t="n">
        <v>3</v>
      </c>
      <c r="E42" s="57" t="n">
        <v>4.2</v>
      </c>
      <c r="F42" s="57" t="n">
        <v>1.2</v>
      </c>
      <c r="G42" s="58" t="n">
        <v>1</v>
      </c>
      <c r="H42" s="59" t="n"/>
      <c r="I42" s="66">
        <f>I41</f>
        <v/>
      </c>
      <c r="J42" s="67">
        <f>J41</f>
        <v/>
      </c>
      <c r="K42" s="67">
        <f>K41</f>
        <v/>
      </c>
      <c r="L42" s="67">
        <f>L41</f>
        <v/>
      </c>
      <c r="M42" s="67">
        <f>M41</f>
        <v/>
      </c>
      <c r="N42" s="67">
        <f>I42+J42*C42+K42*D42+L42*E42+F42*M42</f>
        <v/>
      </c>
      <c r="O42" s="67">
        <f>1/(1+EXP(-N42))</f>
        <v/>
      </c>
      <c r="P42" s="68">
        <f>IF(O42&gt;0.5,1,0)</f>
        <v/>
      </c>
      <c r="Q42" s="68">
        <f>O42-G42</f>
        <v/>
      </c>
      <c r="R42" s="69">
        <f>Q42^2</f>
        <v/>
      </c>
      <c r="S42">
        <f>IF(P42=G42,1,0)</f>
        <v/>
      </c>
    </row>
    <row r="43" ht="14.25" customHeight="1" s="96">
      <c r="A43" s="117" t="n"/>
      <c r="B43" s="55" t="n">
        <v>17</v>
      </c>
      <c r="C43" s="56" t="n">
        <v>5.7</v>
      </c>
      <c r="D43" s="57" t="n">
        <v>2.9</v>
      </c>
      <c r="E43" s="57" t="n">
        <v>4.2</v>
      </c>
      <c r="F43" s="57" t="n">
        <v>1.3</v>
      </c>
      <c r="G43" s="58" t="n">
        <v>1</v>
      </c>
      <c r="H43" s="59" t="n"/>
      <c r="I43" s="66">
        <f>I42</f>
        <v/>
      </c>
      <c r="J43" s="67">
        <f>J42</f>
        <v/>
      </c>
      <c r="K43" s="67">
        <f>K42</f>
        <v/>
      </c>
      <c r="L43" s="67">
        <f>L42</f>
        <v/>
      </c>
      <c r="M43" s="67">
        <f>M42</f>
        <v/>
      </c>
      <c r="N43" s="67">
        <f>I43+J43*C43+K43*D43+L43*E43+F43*M43</f>
        <v/>
      </c>
      <c r="O43" s="67">
        <f>1/(1+EXP(-N43))</f>
        <v/>
      </c>
      <c r="P43" s="68">
        <f>IF(O43&gt;0.5,1,0)</f>
        <v/>
      </c>
      <c r="Q43" s="68">
        <f>O43-G43</f>
        <v/>
      </c>
      <c r="R43" s="69">
        <f>Q43^2</f>
        <v/>
      </c>
      <c r="S43">
        <f>IF(P43=G43,1,0)</f>
        <v/>
      </c>
    </row>
    <row r="44" ht="14.25" customHeight="1" s="96">
      <c r="A44" s="117" t="n"/>
      <c r="B44" s="65" t="n">
        <v>18</v>
      </c>
      <c r="C44" s="56" t="n">
        <v>6.2</v>
      </c>
      <c r="D44" s="57" t="n">
        <v>2.9</v>
      </c>
      <c r="E44" s="57" t="n">
        <v>4.3</v>
      </c>
      <c r="F44" s="57" t="n">
        <v>1.3</v>
      </c>
      <c r="G44" s="58" t="n">
        <v>1</v>
      </c>
      <c r="H44" s="59" t="n"/>
      <c r="I44" s="66">
        <f>I43</f>
        <v/>
      </c>
      <c r="J44" s="67">
        <f>J43</f>
        <v/>
      </c>
      <c r="K44" s="67">
        <f>K43</f>
        <v/>
      </c>
      <c r="L44" s="67">
        <f>L43</f>
        <v/>
      </c>
      <c r="M44" s="67">
        <f>M43</f>
        <v/>
      </c>
      <c r="N44" s="67">
        <f>I44+J44*C44+K44*D44+L44*E44+F44*M44</f>
        <v/>
      </c>
      <c r="O44" s="67">
        <f>1/(1+EXP(-N44))</f>
        <v/>
      </c>
      <c r="P44" s="68">
        <f>IF(O44&gt;0.5,1,0)</f>
        <v/>
      </c>
      <c r="Q44" s="68">
        <f>O44-G44</f>
        <v/>
      </c>
      <c r="R44" s="69">
        <f>Q44^2</f>
        <v/>
      </c>
      <c r="S44">
        <f>IF(P44=G44,1,0)</f>
        <v/>
      </c>
    </row>
    <row r="45" ht="14.25" customHeight="1" s="96">
      <c r="A45" s="117" t="n"/>
      <c r="B45" s="55" t="n">
        <v>19</v>
      </c>
      <c r="C45" s="56" t="n">
        <v>5.1</v>
      </c>
      <c r="D45" s="57" t="n">
        <v>2.5</v>
      </c>
      <c r="E45" s="57" t="n">
        <v>3</v>
      </c>
      <c r="F45" s="57" t="n">
        <v>1.1</v>
      </c>
      <c r="G45" s="58" t="n">
        <v>1</v>
      </c>
      <c r="H45" s="59" t="n"/>
      <c r="I45" s="66">
        <f>I44</f>
        <v/>
      </c>
      <c r="J45" s="67">
        <f>J44</f>
        <v/>
      </c>
      <c r="K45" s="67">
        <f>K44</f>
        <v/>
      </c>
      <c r="L45" s="67">
        <f>L44</f>
        <v/>
      </c>
      <c r="M45" s="67">
        <f>M44</f>
        <v/>
      </c>
      <c r="N45" s="67">
        <f>I45+J45*C45+K45*D45+L45*E45+F45*M45</f>
        <v/>
      </c>
      <c r="O45" s="67">
        <f>1/(1+EXP(-N45))</f>
        <v/>
      </c>
      <c r="P45" s="68">
        <f>IF(O45&gt;0.5,1,0)</f>
        <v/>
      </c>
      <c r="Q45" s="68">
        <f>O45-G45</f>
        <v/>
      </c>
      <c r="R45" s="69">
        <f>Q45^2</f>
        <v/>
      </c>
      <c r="S45">
        <f>IF(P45=G45,1,0)</f>
        <v/>
      </c>
    </row>
    <row r="46" ht="14.25" customHeight="1" s="96">
      <c r="A46" s="118" t="n"/>
      <c r="B46" s="65" t="n">
        <v>20</v>
      </c>
      <c r="C46" s="56" t="n">
        <v>5.7</v>
      </c>
      <c r="D46" s="57" t="n">
        <v>2.8</v>
      </c>
      <c r="E46" s="57" t="n">
        <v>4.1</v>
      </c>
      <c r="F46" s="57" t="n">
        <v>1.3</v>
      </c>
      <c r="G46" s="58" t="n">
        <v>1</v>
      </c>
      <c r="H46" s="59" t="n"/>
      <c r="I46" s="66">
        <f>I45</f>
        <v/>
      </c>
      <c r="J46" s="67">
        <f>J45</f>
        <v/>
      </c>
      <c r="K46" s="67">
        <f>K45</f>
        <v/>
      </c>
      <c r="L46" s="67">
        <f>L45</f>
        <v/>
      </c>
      <c r="M46" s="67">
        <f>M45</f>
        <v/>
      </c>
      <c r="N46" s="67">
        <f>I46+J46*C46+K46*D46+L46*E46+F46*M46</f>
        <v/>
      </c>
      <c r="O46" s="67">
        <f>1/(1+EXP(-N46))</f>
        <v/>
      </c>
      <c r="P46" s="68">
        <f>IF(O46&gt;0.5,1,0)</f>
        <v/>
      </c>
      <c r="Q46" s="68">
        <f>O46-G46</f>
        <v/>
      </c>
      <c r="R46" s="69">
        <f>Q46^2</f>
        <v/>
      </c>
      <c r="S46">
        <f>IF(P46=G46,1,0)</f>
        <v/>
      </c>
    </row>
    <row r="47" ht="14.25" customHeight="1" s="96">
      <c r="A47" s="120" t="inlineStr">
        <is>
          <t>epoch 3</t>
        </is>
      </c>
      <c r="B47" s="73" t="n">
        <v>1</v>
      </c>
      <c r="C47" s="74" t="n">
        <v>5</v>
      </c>
      <c r="D47" s="38" t="n">
        <v>3.5</v>
      </c>
      <c r="E47" s="38" t="n">
        <v>1.3</v>
      </c>
      <c r="F47" s="38" t="n">
        <v>0.3</v>
      </c>
      <c r="G47" s="75" t="n">
        <v>0</v>
      </c>
      <c r="I47" s="73">
        <f>'SLP-Training'!$AC$7</f>
        <v/>
      </c>
      <c r="J47" s="38">
        <f>'SLP-Training'!$AD$7</f>
        <v/>
      </c>
      <c r="K47" s="38">
        <f>'SLP-Training'!$AE$7</f>
        <v/>
      </c>
      <c r="L47" s="38">
        <f>'SLP-Training'!$AF$7</f>
        <v/>
      </c>
      <c r="M47" s="38">
        <f>'SLP-Training'!$AG$7</f>
        <v/>
      </c>
      <c r="N47" s="38">
        <f>I47+J47*C47+K47*D47+L47*E47+F47*M47</f>
        <v/>
      </c>
      <c r="O47" s="38">
        <f>1/(1+EXP(-N47))</f>
        <v/>
      </c>
      <c r="P47" s="40">
        <f>IF(O47&gt;0.5,1,0)</f>
        <v/>
      </c>
      <c r="Q47" s="40">
        <f>O47-G47</f>
        <v/>
      </c>
      <c r="R47" s="41">
        <f>Q47^2</f>
        <v/>
      </c>
      <c r="S47">
        <f>IF(P47=G47,1,0)</f>
        <v/>
      </c>
    </row>
    <row r="48" ht="14.25" customHeight="1" s="96">
      <c r="A48" s="117" t="n"/>
      <c r="B48" s="44" t="n">
        <v>2</v>
      </c>
      <c r="C48" s="78" t="n">
        <v>4.5</v>
      </c>
      <c r="D48" s="46" t="n">
        <v>2.3</v>
      </c>
      <c r="E48" s="46" t="n">
        <v>1.3</v>
      </c>
      <c r="F48" s="46" t="n">
        <v>0.3</v>
      </c>
      <c r="G48" s="45" t="n">
        <v>0</v>
      </c>
      <c r="I48" s="44">
        <f>I47</f>
        <v/>
      </c>
      <c r="J48" s="46">
        <f>J47</f>
        <v/>
      </c>
      <c r="K48" s="46">
        <f>K47</f>
        <v/>
      </c>
      <c r="L48" s="46">
        <f>L47</f>
        <v/>
      </c>
      <c r="M48" s="46">
        <f>M47</f>
        <v/>
      </c>
      <c r="N48" s="46">
        <f>I48+J48*C48+K48*D48+L48*E48+F48*M48</f>
        <v/>
      </c>
      <c r="O48" s="46">
        <f>1/(1+EXP(-N48))</f>
        <v/>
      </c>
      <c r="P48" s="47">
        <f>IF(O48&gt;0.5,1,0)</f>
        <v/>
      </c>
      <c r="Q48" s="47">
        <f>O48-G48</f>
        <v/>
      </c>
      <c r="R48" s="48">
        <f>Q48^2</f>
        <v/>
      </c>
      <c r="S48">
        <f>IF(P48=G48,1,0)</f>
        <v/>
      </c>
    </row>
    <row r="49" ht="14.25" customHeight="1" s="96">
      <c r="A49" s="117" t="n"/>
      <c r="B49" s="44" t="n">
        <v>3</v>
      </c>
      <c r="C49" s="78" t="n">
        <v>4.4</v>
      </c>
      <c r="D49" s="46" t="n">
        <v>3.2</v>
      </c>
      <c r="E49" s="46" t="n">
        <v>1.3</v>
      </c>
      <c r="F49" s="46" t="n">
        <v>0.2</v>
      </c>
      <c r="G49" s="45" t="n">
        <v>0</v>
      </c>
      <c r="I49" s="44">
        <f>I48</f>
        <v/>
      </c>
      <c r="J49" s="46">
        <f>J48</f>
        <v/>
      </c>
      <c r="K49" s="46">
        <f>K48</f>
        <v/>
      </c>
      <c r="L49" s="46">
        <f>L48</f>
        <v/>
      </c>
      <c r="M49" s="46">
        <f>M48</f>
        <v/>
      </c>
      <c r="N49" s="46">
        <f>I49+J49*C49+K49*D49+L49*E49+F49*M49</f>
        <v/>
      </c>
      <c r="O49" s="46">
        <f>1/(1+EXP(-N49))</f>
        <v/>
      </c>
      <c r="P49" s="47">
        <f>IF(O49&gt;0.5,1,0)</f>
        <v/>
      </c>
      <c r="Q49" s="47">
        <f>O49-G49</f>
        <v/>
      </c>
      <c r="R49" s="48">
        <f>Q49^2</f>
        <v/>
      </c>
      <c r="S49">
        <f>IF(P49=G49,1,0)</f>
        <v/>
      </c>
    </row>
    <row r="50" ht="14.25" customHeight="1" s="96">
      <c r="A50" s="117" t="n"/>
      <c r="B50" s="44" t="n">
        <v>4</v>
      </c>
      <c r="C50" s="78" t="n">
        <v>5</v>
      </c>
      <c r="D50" s="46" t="n">
        <v>3.5</v>
      </c>
      <c r="E50" s="46" t="n">
        <v>1.6</v>
      </c>
      <c r="F50" s="46" t="n">
        <v>0.6</v>
      </c>
      <c r="G50" s="45" t="n">
        <v>0</v>
      </c>
      <c r="I50" s="44">
        <f>I49</f>
        <v/>
      </c>
      <c r="J50" s="46">
        <f>J49</f>
        <v/>
      </c>
      <c r="K50" s="46">
        <f>K49</f>
        <v/>
      </c>
      <c r="L50" s="46">
        <f>L49</f>
        <v/>
      </c>
      <c r="M50" s="46">
        <f>M49</f>
        <v/>
      </c>
      <c r="N50" s="46">
        <f>I50+J50*C50+K50*D50+L50*E50+F50*M50</f>
        <v/>
      </c>
      <c r="O50" s="46">
        <f>1/(1+EXP(-N50))</f>
        <v/>
      </c>
      <c r="P50" s="47">
        <f>IF(O50&gt;0.5,1,0)</f>
        <v/>
      </c>
      <c r="Q50" s="47">
        <f>O50-G50</f>
        <v/>
      </c>
      <c r="R50" s="48">
        <f>Q50^2</f>
        <v/>
      </c>
      <c r="S50">
        <f>IF(P50=G50,1,0)</f>
        <v/>
      </c>
    </row>
    <row r="51" ht="14.25" customHeight="1" s="96">
      <c r="A51" s="117" t="n"/>
      <c r="B51" s="44" t="n">
        <v>5</v>
      </c>
      <c r="C51" s="78" t="n">
        <v>5.1</v>
      </c>
      <c r="D51" s="46" t="n">
        <v>3.8</v>
      </c>
      <c r="E51" s="46" t="n">
        <v>1.9</v>
      </c>
      <c r="F51" s="46" t="n">
        <v>0.4</v>
      </c>
      <c r="G51" s="45" t="n">
        <v>0</v>
      </c>
      <c r="I51" s="44">
        <f>I50</f>
        <v/>
      </c>
      <c r="J51" s="46">
        <f>J50</f>
        <v/>
      </c>
      <c r="K51" s="46">
        <f>K50</f>
        <v/>
      </c>
      <c r="L51" s="46">
        <f>L50</f>
        <v/>
      </c>
      <c r="M51" s="46">
        <f>M50</f>
        <v/>
      </c>
      <c r="N51" s="46">
        <f>I51+J51*C51+K51*D51+L51*E51+F51*M51</f>
        <v/>
      </c>
      <c r="O51" s="46">
        <f>1/(1+EXP(-N51))</f>
        <v/>
      </c>
      <c r="P51" s="47">
        <f>IF(O51&gt;0.5,1,0)</f>
        <v/>
      </c>
      <c r="Q51" s="47">
        <f>O51-G51</f>
        <v/>
      </c>
      <c r="R51" s="48">
        <f>Q51^2</f>
        <v/>
      </c>
      <c r="S51">
        <f>IF(P51=G51,1,0)</f>
        <v/>
      </c>
    </row>
    <row r="52" ht="14.25" customHeight="1" s="96">
      <c r="A52" s="117" t="n"/>
      <c r="B52" s="44" t="n">
        <v>6</v>
      </c>
      <c r="C52" s="78" t="n">
        <v>4.8</v>
      </c>
      <c r="D52" s="46" t="n">
        <v>3</v>
      </c>
      <c r="E52" s="46" t="n">
        <v>1.4</v>
      </c>
      <c r="F52" s="46" t="n">
        <v>0.3</v>
      </c>
      <c r="G52" s="45" t="n">
        <v>0</v>
      </c>
      <c r="I52" s="44">
        <f>I51</f>
        <v/>
      </c>
      <c r="J52" s="46">
        <f>J51</f>
        <v/>
      </c>
      <c r="K52" s="46">
        <f>K51</f>
        <v/>
      </c>
      <c r="L52" s="46">
        <f>L51</f>
        <v/>
      </c>
      <c r="M52" s="46">
        <f>M51</f>
        <v/>
      </c>
      <c r="N52" s="46">
        <f>I52+J52*C52+K52*D52+L52*E52+F52*M52</f>
        <v/>
      </c>
      <c r="O52" s="46">
        <f>1/(1+EXP(-N52))</f>
        <v/>
      </c>
      <c r="P52" s="47">
        <f>IF(O52&gt;0.5,1,0)</f>
        <v/>
      </c>
      <c r="Q52" s="47">
        <f>O52-G52</f>
        <v/>
      </c>
      <c r="R52" s="48">
        <f>Q52^2</f>
        <v/>
      </c>
      <c r="S52">
        <f>IF(P52=G52,1,0)</f>
        <v/>
      </c>
    </row>
    <row r="53" ht="14.25" customHeight="1" s="96">
      <c r="A53" s="117" t="n"/>
      <c r="B53" s="44" t="n">
        <v>7</v>
      </c>
      <c r="C53" s="78" t="n">
        <v>5.1</v>
      </c>
      <c r="D53" s="46" t="n">
        <v>3.8</v>
      </c>
      <c r="E53" s="46" t="n">
        <v>1.6</v>
      </c>
      <c r="F53" s="46" t="n">
        <v>0.2</v>
      </c>
      <c r="G53" s="45" t="n">
        <v>0</v>
      </c>
      <c r="I53" s="44">
        <f>I52</f>
        <v/>
      </c>
      <c r="J53" s="46">
        <f>J52</f>
        <v/>
      </c>
      <c r="K53" s="46">
        <f>K52</f>
        <v/>
      </c>
      <c r="L53" s="46">
        <f>L52</f>
        <v/>
      </c>
      <c r="M53" s="46">
        <f>M52</f>
        <v/>
      </c>
      <c r="N53" s="46">
        <f>I53+J53*C53+K53*D53+L53*E53+F53*M53</f>
        <v/>
      </c>
      <c r="O53" s="46">
        <f>1/(1+EXP(-N53))</f>
        <v/>
      </c>
      <c r="P53" s="47">
        <f>IF(O53&gt;0.5,1,0)</f>
        <v/>
      </c>
      <c r="Q53" s="47">
        <f>O53-G53</f>
        <v/>
      </c>
      <c r="R53" s="48">
        <f>Q53^2</f>
        <v/>
      </c>
      <c r="S53">
        <f>IF(P53=G53,1,0)</f>
        <v/>
      </c>
    </row>
    <row r="54" ht="14.25" customHeight="1" s="96">
      <c r="A54" s="117" t="n"/>
      <c r="B54" s="44" t="n">
        <v>8</v>
      </c>
      <c r="C54" s="78" t="n">
        <v>4.6</v>
      </c>
      <c r="D54" s="46" t="n">
        <v>3.2</v>
      </c>
      <c r="E54" s="46" t="n">
        <v>1.4</v>
      </c>
      <c r="F54" s="46" t="n">
        <v>0.2</v>
      </c>
      <c r="G54" s="45" t="n">
        <v>0</v>
      </c>
      <c r="I54" s="44">
        <f>I53</f>
        <v/>
      </c>
      <c r="J54" s="46">
        <f>J53</f>
        <v/>
      </c>
      <c r="K54" s="46">
        <f>K53</f>
        <v/>
      </c>
      <c r="L54" s="46">
        <f>L53</f>
        <v/>
      </c>
      <c r="M54" s="46">
        <f>M53</f>
        <v/>
      </c>
      <c r="N54" s="46">
        <f>I54+J54*C54+K54*D54+L54*E54+F54*M54</f>
        <v/>
      </c>
      <c r="O54" s="46">
        <f>1/(1+EXP(-N54))</f>
        <v/>
      </c>
      <c r="P54" s="47">
        <f>IF(O54&gt;0.5,1,0)</f>
        <v/>
      </c>
      <c r="Q54" s="47">
        <f>O54-G54</f>
        <v/>
      </c>
      <c r="R54" s="48">
        <f>Q54^2</f>
        <v/>
      </c>
      <c r="S54">
        <f>IF(P54=G54,1,0)</f>
        <v/>
      </c>
    </row>
    <row r="55" ht="14.25" customHeight="1" s="96">
      <c r="A55" s="117" t="n"/>
      <c r="B55" s="44" t="n">
        <v>9</v>
      </c>
      <c r="C55" s="78" t="n">
        <v>5.3</v>
      </c>
      <c r="D55" s="46" t="n">
        <v>3.7</v>
      </c>
      <c r="E55" s="46" t="n">
        <v>1.5</v>
      </c>
      <c r="F55" s="46" t="n">
        <v>0.2</v>
      </c>
      <c r="G55" s="45" t="n">
        <v>0</v>
      </c>
      <c r="I55" s="44">
        <f>I54</f>
        <v/>
      </c>
      <c r="J55" s="46">
        <f>J54</f>
        <v/>
      </c>
      <c r="K55" s="46">
        <f>K54</f>
        <v/>
      </c>
      <c r="L55" s="46">
        <f>L54</f>
        <v/>
      </c>
      <c r="M55" s="46">
        <f>M54</f>
        <v/>
      </c>
      <c r="N55" s="46">
        <f>I55+J55*C55+K55*D55+L55*E55+F55*M55</f>
        <v/>
      </c>
      <c r="O55" s="46">
        <f>1/(1+EXP(-N55))</f>
        <v/>
      </c>
      <c r="P55" s="47">
        <f>IF(O55&gt;0.5,1,0)</f>
        <v/>
      </c>
      <c r="Q55" s="47">
        <f>O55-G55</f>
        <v/>
      </c>
      <c r="R55" s="48">
        <f>Q55^2</f>
        <v/>
      </c>
      <c r="S55">
        <f>IF(P55=G55,1,0)</f>
        <v/>
      </c>
    </row>
    <row r="56" ht="14.25" customHeight="1" s="96">
      <c r="A56" s="117" t="n"/>
      <c r="B56" s="44" t="n">
        <v>10</v>
      </c>
      <c r="C56" s="78" t="n">
        <v>5</v>
      </c>
      <c r="D56" s="46" t="n">
        <v>3.3</v>
      </c>
      <c r="E56" s="46" t="n">
        <v>1.4</v>
      </c>
      <c r="F56" s="46" t="n">
        <v>0.2</v>
      </c>
      <c r="G56" s="45" t="n">
        <v>0</v>
      </c>
      <c r="I56" s="44">
        <f>I55</f>
        <v/>
      </c>
      <c r="J56" s="46">
        <f>J55</f>
        <v/>
      </c>
      <c r="K56" s="46">
        <f>K55</f>
        <v/>
      </c>
      <c r="L56" s="46">
        <f>L55</f>
        <v/>
      </c>
      <c r="M56" s="46">
        <f>M55</f>
        <v/>
      </c>
      <c r="N56" s="46">
        <f>I56+J56*C56+K56*D56+L56*E56+F56*M56</f>
        <v/>
      </c>
      <c r="O56" s="46">
        <f>1/(1+EXP(-N56))</f>
        <v/>
      </c>
      <c r="P56" s="47">
        <f>IF(O56&gt;0.5,1,0)</f>
        <v/>
      </c>
      <c r="Q56" s="47">
        <f>O56-G56</f>
        <v/>
      </c>
      <c r="R56" s="48">
        <f>Q56^2</f>
        <v/>
      </c>
      <c r="S56">
        <f>IF(P56=G56,1,0)</f>
        <v/>
      </c>
    </row>
    <row r="57" ht="14.25" customHeight="1" s="96">
      <c r="A57" s="117" t="n"/>
      <c r="B57" s="44" t="n">
        <v>11</v>
      </c>
      <c r="C57" s="78" t="n">
        <v>5.5</v>
      </c>
      <c r="D57" s="46" t="n">
        <v>2.6</v>
      </c>
      <c r="E57" s="46" t="n">
        <v>4.4</v>
      </c>
      <c r="F57" s="46" t="n">
        <v>1.2</v>
      </c>
      <c r="G57" s="45" t="n">
        <v>1</v>
      </c>
      <c r="I57" s="44">
        <f>I56</f>
        <v/>
      </c>
      <c r="J57" s="46">
        <f>J56</f>
        <v/>
      </c>
      <c r="K57" s="46">
        <f>K56</f>
        <v/>
      </c>
      <c r="L57" s="46">
        <f>L56</f>
        <v/>
      </c>
      <c r="M57" s="46">
        <f>M56</f>
        <v/>
      </c>
      <c r="N57" s="46">
        <f>I57+J57*C57+K57*D57+L57*E57+F57*M57</f>
        <v/>
      </c>
      <c r="O57" s="46">
        <f>1/(1+EXP(-N57))</f>
        <v/>
      </c>
      <c r="P57" s="47">
        <f>IF(O57&gt;0.5,1,0)</f>
        <v/>
      </c>
      <c r="Q57" s="47">
        <f>O57-G57</f>
        <v/>
      </c>
      <c r="R57" s="48">
        <f>Q57^2</f>
        <v/>
      </c>
      <c r="S57">
        <f>IF(P57=G57,1,0)</f>
        <v/>
      </c>
    </row>
    <row r="58" ht="14.25" customHeight="1" s="96">
      <c r="A58" s="117" t="n"/>
      <c r="B58" s="44" t="n">
        <v>12</v>
      </c>
      <c r="C58" s="78" t="n">
        <v>6.1</v>
      </c>
      <c r="D58" s="46" t="n">
        <v>3</v>
      </c>
      <c r="E58" s="46" t="n">
        <v>4.6</v>
      </c>
      <c r="F58" s="46" t="n">
        <v>1.4</v>
      </c>
      <c r="G58" s="45" t="n">
        <v>1</v>
      </c>
      <c r="I58" s="44">
        <f>I57</f>
        <v/>
      </c>
      <c r="J58" s="46">
        <f>J57</f>
        <v/>
      </c>
      <c r="K58" s="46">
        <f>K57</f>
        <v/>
      </c>
      <c r="L58" s="46">
        <f>L57</f>
        <v/>
      </c>
      <c r="M58" s="46">
        <f>M57</f>
        <v/>
      </c>
      <c r="N58" s="46">
        <f>I58+J58*C58+K58*D58+L58*E58+F58*M58</f>
        <v/>
      </c>
      <c r="O58" s="46">
        <f>1/(1+EXP(-N58))</f>
        <v/>
      </c>
      <c r="P58" s="47">
        <f>IF(O58&gt;0.5,1,0)</f>
        <v/>
      </c>
      <c r="Q58" s="47">
        <f>O58-G58</f>
        <v/>
      </c>
      <c r="R58" s="48">
        <f>Q58^2</f>
        <v/>
      </c>
      <c r="S58">
        <f>IF(P58=G58,1,0)</f>
        <v/>
      </c>
    </row>
    <row r="59" ht="14.25" customHeight="1" s="96">
      <c r="A59" s="117" t="n"/>
      <c r="B59" s="44" t="n">
        <v>13</v>
      </c>
      <c r="C59" s="78" t="n">
        <v>5.8</v>
      </c>
      <c r="D59" s="46" t="n">
        <v>2.6</v>
      </c>
      <c r="E59" s="46" t="n">
        <v>4</v>
      </c>
      <c r="F59" s="46" t="n">
        <v>1.2</v>
      </c>
      <c r="G59" s="45" t="n">
        <v>1</v>
      </c>
      <c r="I59" s="44">
        <f>I58</f>
        <v/>
      </c>
      <c r="J59" s="46">
        <f>J58</f>
        <v/>
      </c>
      <c r="K59" s="46">
        <f>K58</f>
        <v/>
      </c>
      <c r="L59" s="46">
        <f>L58</f>
        <v/>
      </c>
      <c r="M59" s="46">
        <f>M58</f>
        <v/>
      </c>
      <c r="N59" s="46">
        <f>I59+J59*C59+K59*D59+L59*E59+F59*M59</f>
        <v/>
      </c>
      <c r="O59" s="46">
        <f>1/(1+EXP(-N59))</f>
        <v/>
      </c>
      <c r="P59" s="47">
        <f>IF(O59&gt;0.5,1,0)</f>
        <v/>
      </c>
      <c r="Q59" s="47">
        <f>O59-G59</f>
        <v/>
      </c>
      <c r="R59" s="48">
        <f>Q59^2</f>
        <v/>
      </c>
      <c r="S59">
        <f>IF(P59=G59,1,0)</f>
        <v/>
      </c>
    </row>
    <row r="60" ht="14.25" customHeight="1" s="96">
      <c r="A60" s="117" t="n"/>
      <c r="B60" s="44" t="n">
        <v>14</v>
      </c>
      <c r="C60" s="78" t="n">
        <v>5</v>
      </c>
      <c r="D60" s="46" t="n">
        <v>2.3</v>
      </c>
      <c r="E60" s="46" t="n">
        <v>3.3</v>
      </c>
      <c r="F60" s="46" t="n">
        <v>1</v>
      </c>
      <c r="G60" s="45" t="n">
        <v>1</v>
      </c>
      <c r="I60" s="44">
        <f>I59</f>
        <v/>
      </c>
      <c r="J60" s="46">
        <f>J59</f>
        <v/>
      </c>
      <c r="K60" s="46">
        <f>K59</f>
        <v/>
      </c>
      <c r="L60" s="46">
        <f>L59</f>
        <v/>
      </c>
      <c r="M60" s="46">
        <f>M59</f>
        <v/>
      </c>
      <c r="N60" s="46">
        <f>I60+J60*C60+K60*D60+L60*E60+F60*M60</f>
        <v/>
      </c>
      <c r="O60" s="46">
        <f>1/(1+EXP(-N60))</f>
        <v/>
      </c>
      <c r="P60" s="47">
        <f>IF(O60&gt;0.5,1,0)</f>
        <v/>
      </c>
      <c r="Q60" s="47">
        <f>O60-G60</f>
        <v/>
      </c>
      <c r="R60" s="48">
        <f>Q60^2</f>
        <v/>
      </c>
      <c r="S60">
        <f>IF(P60=G60,1,0)</f>
        <v/>
      </c>
    </row>
    <row r="61" ht="14.25" customHeight="1" s="96">
      <c r="A61" s="117" t="n"/>
      <c r="B61" s="44" t="n">
        <v>15</v>
      </c>
      <c r="C61" s="78" t="n">
        <v>5.6</v>
      </c>
      <c r="D61" s="46" t="n">
        <v>2.7</v>
      </c>
      <c r="E61" s="46" t="n">
        <v>4.2</v>
      </c>
      <c r="F61" s="46" t="n">
        <v>1.3</v>
      </c>
      <c r="G61" s="45" t="n">
        <v>1</v>
      </c>
      <c r="I61" s="44">
        <f>I60</f>
        <v/>
      </c>
      <c r="J61" s="46">
        <f>J60</f>
        <v/>
      </c>
      <c r="K61" s="46">
        <f>K60</f>
        <v/>
      </c>
      <c r="L61" s="46">
        <f>L60</f>
        <v/>
      </c>
      <c r="M61" s="46">
        <f>M60</f>
        <v/>
      </c>
      <c r="N61" s="46">
        <f>I61+J61*C61+K61*D61+L61*E61+F61*M61</f>
        <v/>
      </c>
      <c r="O61" s="46">
        <f>1/(1+EXP(-N61))</f>
        <v/>
      </c>
      <c r="P61" s="47">
        <f>IF(O61&gt;0.5,1,0)</f>
        <v/>
      </c>
      <c r="Q61" s="47">
        <f>O61-G61</f>
        <v/>
      </c>
      <c r="R61" s="48">
        <f>Q61^2</f>
        <v/>
      </c>
      <c r="S61">
        <f>IF(P61=G61,1,0)</f>
        <v/>
      </c>
    </row>
    <row r="62" ht="14.25" customHeight="1" s="96">
      <c r="A62" s="117" t="n"/>
      <c r="B62" s="44" t="n">
        <v>16</v>
      </c>
      <c r="C62" s="78" t="n">
        <v>5.7</v>
      </c>
      <c r="D62" s="46" t="n">
        <v>3</v>
      </c>
      <c r="E62" s="46" t="n">
        <v>4.2</v>
      </c>
      <c r="F62" s="46" t="n">
        <v>1.2</v>
      </c>
      <c r="G62" s="45" t="n">
        <v>1</v>
      </c>
      <c r="I62" s="44">
        <f>I61</f>
        <v/>
      </c>
      <c r="J62" s="46">
        <f>J61</f>
        <v/>
      </c>
      <c r="K62" s="46">
        <f>K61</f>
        <v/>
      </c>
      <c r="L62" s="46">
        <f>L61</f>
        <v/>
      </c>
      <c r="M62" s="46">
        <f>M61</f>
        <v/>
      </c>
      <c r="N62" s="46">
        <f>I62+J62*C62+K62*D62+L62*E62+F62*M62</f>
        <v/>
      </c>
      <c r="O62" s="46">
        <f>1/(1+EXP(-N62))</f>
        <v/>
      </c>
      <c r="P62" s="47">
        <f>IF(O62&gt;0.5,1,0)</f>
        <v/>
      </c>
      <c r="Q62" s="47">
        <f>O62-G62</f>
        <v/>
      </c>
      <c r="R62" s="48">
        <f>Q62^2</f>
        <v/>
      </c>
      <c r="S62">
        <f>IF(P62=G62,1,0)</f>
        <v/>
      </c>
    </row>
    <row r="63" ht="14.25" customHeight="1" s="96">
      <c r="A63" s="117" t="n"/>
      <c r="B63" s="44" t="n">
        <v>17</v>
      </c>
      <c r="C63" s="78" t="n">
        <v>5.7</v>
      </c>
      <c r="D63" s="46" t="n">
        <v>2.9</v>
      </c>
      <c r="E63" s="46" t="n">
        <v>4.2</v>
      </c>
      <c r="F63" s="46" t="n">
        <v>1.3</v>
      </c>
      <c r="G63" s="45" t="n">
        <v>1</v>
      </c>
      <c r="I63" s="44">
        <f>I62</f>
        <v/>
      </c>
      <c r="J63" s="46">
        <f>J62</f>
        <v/>
      </c>
      <c r="K63" s="46">
        <f>K62</f>
        <v/>
      </c>
      <c r="L63" s="46">
        <f>L62</f>
        <v/>
      </c>
      <c r="M63" s="46">
        <f>M62</f>
        <v/>
      </c>
      <c r="N63" s="46">
        <f>I63+J63*C63+K63*D63+L63*E63+F63*M63</f>
        <v/>
      </c>
      <c r="O63" s="46">
        <f>1/(1+EXP(-N63))</f>
        <v/>
      </c>
      <c r="P63" s="47">
        <f>IF(O63&gt;0.5,1,0)</f>
        <v/>
      </c>
      <c r="Q63" s="47">
        <f>O63-G63</f>
        <v/>
      </c>
      <c r="R63" s="48">
        <f>Q63^2</f>
        <v/>
      </c>
      <c r="S63">
        <f>IF(P63=G63,1,0)</f>
        <v/>
      </c>
    </row>
    <row r="64" ht="14.25" customHeight="1" s="96">
      <c r="A64" s="117" t="n"/>
      <c r="B64" s="44" t="n">
        <v>18</v>
      </c>
      <c r="C64" s="78" t="n">
        <v>6.2</v>
      </c>
      <c r="D64" s="46" t="n">
        <v>2.9</v>
      </c>
      <c r="E64" s="46" t="n">
        <v>4.3</v>
      </c>
      <c r="F64" s="46" t="n">
        <v>1.3</v>
      </c>
      <c r="G64" s="45" t="n">
        <v>1</v>
      </c>
      <c r="I64" s="44">
        <f>I63</f>
        <v/>
      </c>
      <c r="J64" s="46">
        <f>J63</f>
        <v/>
      </c>
      <c r="K64" s="46">
        <f>K63</f>
        <v/>
      </c>
      <c r="L64" s="46">
        <f>L63</f>
        <v/>
      </c>
      <c r="M64" s="46">
        <f>M63</f>
        <v/>
      </c>
      <c r="N64" s="46">
        <f>I64+J64*C64+K64*D64+L64*E64+F64*M64</f>
        <v/>
      </c>
      <c r="O64" s="46">
        <f>1/(1+EXP(-N64))</f>
        <v/>
      </c>
      <c r="P64" s="47">
        <f>IF(O64&gt;0.5,1,0)</f>
        <v/>
      </c>
      <c r="Q64" s="47">
        <f>O64-G64</f>
        <v/>
      </c>
      <c r="R64" s="48">
        <f>Q64^2</f>
        <v/>
      </c>
      <c r="S64">
        <f>IF(P64=G64,1,0)</f>
        <v/>
      </c>
    </row>
    <row r="65" ht="14.25" customHeight="1" s="96">
      <c r="A65" s="117" t="n"/>
      <c r="B65" s="44" t="n">
        <v>19</v>
      </c>
      <c r="C65" s="78" t="n">
        <v>5.1</v>
      </c>
      <c r="D65" s="46" t="n">
        <v>2.5</v>
      </c>
      <c r="E65" s="46" t="n">
        <v>3</v>
      </c>
      <c r="F65" s="46" t="n">
        <v>1.1</v>
      </c>
      <c r="G65" s="45" t="n">
        <v>1</v>
      </c>
      <c r="I65" s="44">
        <f>I64</f>
        <v/>
      </c>
      <c r="J65" s="46">
        <f>J64</f>
        <v/>
      </c>
      <c r="K65" s="46">
        <f>K64</f>
        <v/>
      </c>
      <c r="L65" s="46">
        <f>L64</f>
        <v/>
      </c>
      <c r="M65" s="46">
        <f>M64</f>
        <v/>
      </c>
      <c r="N65" s="46">
        <f>I65+J65*C65+K65*D65+L65*E65+F65*M65</f>
        <v/>
      </c>
      <c r="O65" s="46">
        <f>1/(1+EXP(-N65))</f>
        <v/>
      </c>
      <c r="P65" s="47">
        <f>IF(O65&gt;0.5,1,0)</f>
        <v/>
      </c>
      <c r="Q65" s="47">
        <f>O65-G65</f>
        <v/>
      </c>
      <c r="R65" s="48">
        <f>Q65^2</f>
        <v/>
      </c>
      <c r="S65">
        <f>IF(P65=G65,1,0)</f>
        <v/>
      </c>
    </row>
    <row r="66" ht="14.25" customHeight="1" s="96">
      <c r="A66" s="118" t="n"/>
      <c r="B66" s="44" t="n">
        <v>20</v>
      </c>
      <c r="C66" s="78" t="n">
        <v>5.7</v>
      </c>
      <c r="D66" s="46" t="n">
        <v>2.8</v>
      </c>
      <c r="E66" s="46" t="n">
        <v>4.1</v>
      </c>
      <c r="F66" s="46" t="n">
        <v>1.3</v>
      </c>
      <c r="G66" s="45" t="n">
        <v>1</v>
      </c>
      <c r="I66" s="44">
        <f>I65</f>
        <v/>
      </c>
      <c r="J66" s="46">
        <f>J65</f>
        <v/>
      </c>
      <c r="K66" s="46">
        <f>K65</f>
        <v/>
      </c>
      <c r="L66" s="46">
        <f>L65</f>
        <v/>
      </c>
      <c r="M66" s="46">
        <f>M65</f>
        <v/>
      </c>
      <c r="N66" s="46">
        <f>I66+J66*C66+K66*D66+L66*E66+F66*M66</f>
        <v/>
      </c>
      <c r="O66" s="46">
        <f>1/(1+EXP(-N66))</f>
        <v/>
      </c>
      <c r="P66" s="47">
        <f>IF(O66&gt;0.5,1,0)</f>
        <v/>
      </c>
      <c r="Q66" s="47">
        <f>O66-G66</f>
        <v/>
      </c>
      <c r="R66" s="48">
        <f>Q66^2</f>
        <v/>
      </c>
      <c r="S66">
        <f>IF(P66=G66,1,0)</f>
        <v/>
      </c>
    </row>
    <row r="67" ht="14.25" customHeight="1" s="96">
      <c r="A67" s="119" t="inlineStr">
        <is>
          <t>epoch 4</t>
        </is>
      </c>
      <c r="B67" s="44" t="n">
        <v>1</v>
      </c>
      <c r="C67" s="78" t="n">
        <v>5</v>
      </c>
      <c r="D67" s="46" t="n">
        <v>3.5</v>
      </c>
      <c r="E67" s="46" t="n">
        <v>1.3</v>
      </c>
      <c r="F67" s="46" t="n">
        <v>0.3</v>
      </c>
      <c r="G67" s="45" t="n">
        <v>0</v>
      </c>
      <c r="I67" s="44">
        <f>'SLP-Training'!$AC$8</f>
        <v/>
      </c>
      <c r="J67" s="46">
        <f>'SLP-Training'!$AD$8</f>
        <v/>
      </c>
      <c r="K67" s="46">
        <f>'SLP-Training'!$AE$8</f>
        <v/>
      </c>
      <c r="L67" s="46">
        <f>'SLP-Training'!$AF$8</f>
        <v/>
      </c>
      <c r="M67" s="46">
        <f>'SLP-Training'!$AG$8</f>
        <v/>
      </c>
      <c r="N67" s="46">
        <f>I67+J67*C67+K67*D67+L67*E67+F67*M67</f>
        <v/>
      </c>
      <c r="O67" s="46">
        <f>1/(1+EXP(-N67))</f>
        <v/>
      </c>
      <c r="P67" s="47">
        <f>IF(O67&gt;0.5,1,0)</f>
        <v/>
      </c>
      <c r="Q67" s="47">
        <f>O67-G67</f>
        <v/>
      </c>
      <c r="R67" s="48">
        <f>Q67^2</f>
        <v/>
      </c>
      <c r="S67">
        <f>IF(P67=G67,1,0)</f>
        <v/>
      </c>
    </row>
    <row r="68" ht="14.25" customHeight="1" s="96">
      <c r="B68" s="44" t="n">
        <v>2</v>
      </c>
      <c r="C68" s="78" t="n">
        <v>4.5</v>
      </c>
      <c r="D68" s="46" t="n">
        <v>2.3</v>
      </c>
      <c r="E68" s="46" t="n">
        <v>1.3</v>
      </c>
      <c r="F68" s="46" t="n">
        <v>0.3</v>
      </c>
      <c r="G68" s="45" t="n">
        <v>0</v>
      </c>
      <c r="I68" s="44">
        <f>I67</f>
        <v/>
      </c>
      <c r="J68" s="46">
        <f>J67</f>
        <v/>
      </c>
      <c r="K68" s="46">
        <f>K67</f>
        <v/>
      </c>
      <c r="L68" s="46">
        <f>L67</f>
        <v/>
      </c>
      <c r="M68" s="46">
        <f>M67</f>
        <v/>
      </c>
      <c r="N68" s="46">
        <f>I68+J68*C68+K68*D68+L68*E68+F68*M68</f>
        <v/>
      </c>
      <c r="O68" s="46">
        <f>1/(1+EXP(-N68))</f>
        <v/>
      </c>
      <c r="P68" s="47">
        <f>IF(O68&gt;0.5,1,0)</f>
        <v/>
      </c>
      <c r="Q68" s="47">
        <f>O68-G68</f>
        <v/>
      </c>
      <c r="R68" s="48">
        <f>Q68^2</f>
        <v/>
      </c>
      <c r="S68">
        <f>IF(P68=G68,1,0)</f>
        <v/>
      </c>
    </row>
    <row r="69" ht="14.25" customHeight="1" s="96">
      <c r="B69" s="44" t="n">
        <v>3</v>
      </c>
      <c r="C69" s="78" t="n">
        <v>4.4</v>
      </c>
      <c r="D69" s="46" t="n">
        <v>3.2</v>
      </c>
      <c r="E69" s="46" t="n">
        <v>1.3</v>
      </c>
      <c r="F69" s="46" t="n">
        <v>0.2</v>
      </c>
      <c r="G69" s="45" t="n">
        <v>0</v>
      </c>
      <c r="I69" s="44">
        <f>I68</f>
        <v/>
      </c>
      <c r="J69" s="46">
        <f>J68</f>
        <v/>
      </c>
      <c r="K69" s="46">
        <f>K68</f>
        <v/>
      </c>
      <c r="L69" s="46">
        <f>L68</f>
        <v/>
      </c>
      <c r="M69" s="46">
        <f>M68</f>
        <v/>
      </c>
      <c r="N69" s="46">
        <f>I69+J69*C69+K69*D69+L69*E69+F69*M69</f>
        <v/>
      </c>
      <c r="O69" s="46">
        <f>1/(1+EXP(-N69))</f>
        <v/>
      </c>
      <c r="P69" s="47">
        <f>IF(O69&gt;0.5,1,0)</f>
        <v/>
      </c>
      <c r="Q69" s="47">
        <f>O69-G69</f>
        <v/>
      </c>
      <c r="R69" s="48">
        <f>Q69^2</f>
        <v/>
      </c>
      <c r="S69">
        <f>IF(P69=G69,1,0)</f>
        <v/>
      </c>
    </row>
    <row r="70" ht="14.25" customHeight="1" s="96">
      <c r="B70" s="44" t="n">
        <v>4</v>
      </c>
      <c r="C70" s="78" t="n">
        <v>5</v>
      </c>
      <c r="D70" s="46" t="n">
        <v>3.5</v>
      </c>
      <c r="E70" s="46" t="n">
        <v>1.6</v>
      </c>
      <c r="F70" s="46" t="n">
        <v>0.6</v>
      </c>
      <c r="G70" s="45" t="n">
        <v>0</v>
      </c>
      <c r="I70" s="44">
        <f>I69</f>
        <v/>
      </c>
      <c r="J70" s="46">
        <f>J69</f>
        <v/>
      </c>
      <c r="K70" s="46">
        <f>K69</f>
        <v/>
      </c>
      <c r="L70" s="46">
        <f>L69</f>
        <v/>
      </c>
      <c r="M70" s="46">
        <f>M69</f>
        <v/>
      </c>
      <c r="N70" s="46">
        <f>I70+J70*C70+K70*D70+L70*E70+F70*M70</f>
        <v/>
      </c>
      <c r="O70" s="46">
        <f>1/(1+EXP(-N70))</f>
        <v/>
      </c>
      <c r="P70" s="47">
        <f>IF(O70&gt;0.5,1,0)</f>
        <v/>
      </c>
      <c r="Q70" s="47">
        <f>O70-G70</f>
        <v/>
      </c>
      <c r="R70" s="48">
        <f>Q70^2</f>
        <v/>
      </c>
      <c r="S70">
        <f>IF(P70=G70,1,0)</f>
        <v/>
      </c>
    </row>
    <row r="71" ht="14.25" customHeight="1" s="96">
      <c r="B71" s="44" t="n">
        <v>5</v>
      </c>
      <c r="C71" s="78" t="n">
        <v>5.1</v>
      </c>
      <c r="D71" s="46" t="n">
        <v>3.8</v>
      </c>
      <c r="E71" s="46" t="n">
        <v>1.9</v>
      </c>
      <c r="F71" s="46" t="n">
        <v>0.4</v>
      </c>
      <c r="G71" s="45" t="n">
        <v>0</v>
      </c>
      <c r="I71" s="44">
        <f>I70</f>
        <v/>
      </c>
      <c r="J71" s="46">
        <f>J70</f>
        <v/>
      </c>
      <c r="K71" s="46">
        <f>K70</f>
        <v/>
      </c>
      <c r="L71" s="46">
        <f>L70</f>
        <v/>
      </c>
      <c r="M71" s="46">
        <f>M70</f>
        <v/>
      </c>
      <c r="N71" s="46">
        <f>I71+J71*C71+K71*D71+L71*E71+F71*M71</f>
        <v/>
      </c>
      <c r="O71" s="46">
        <f>1/(1+EXP(-N71))</f>
        <v/>
      </c>
      <c r="P71" s="47">
        <f>IF(O71&gt;0.5,1,0)</f>
        <v/>
      </c>
      <c r="Q71" s="47">
        <f>O71-G71</f>
        <v/>
      </c>
      <c r="R71" s="48">
        <f>Q71^2</f>
        <v/>
      </c>
      <c r="S71">
        <f>IF(P71=G71,1,0)</f>
        <v/>
      </c>
    </row>
    <row r="72" ht="14.25" customHeight="1" s="96">
      <c r="B72" s="44" t="n">
        <v>6</v>
      </c>
      <c r="C72" s="78" t="n">
        <v>4.8</v>
      </c>
      <c r="D72" s="46" t="n">
        <v>3</v>
      </c>
      <c r="E72" s="46" t="n">
        <v>1.4</v>
      </c>
      <c r="F72" s="46" t="n">
        <v>0.3</v>
      </c>
      <c r="G72" s="45" t="n">
        <v>0</v>
      </c>
      <c r="I72" s="44">
        <f>I71</f>
        <v/>
      </c>
      <c r="J72" s="46">
        <f>J71</f>
        <v/>
      </c>
      <c r="K72" s="46">
        <f>K71</f>
        <v/>
      </c>
      <c r="L72" s="46">
        <f>L71</f>
        <v/>
      </c>
      <c r="M72" s="46">
        <f>M71</f>
        <v/>
      </c>
      <c r="N72" s="46">
        <f>I72+J72*C72+K72*D72+L72*E72+F72*M72</f>
        <v/>
      </c>
      <c r="O72" s="46">
        <f>1/(1+EXP(-N72))</f>
        <v/>
      </c>
      <c r="P72" s="47">
        <f>IF(O72&gt;0.5,1,0)</f>
        <v/>
      </c>
      <c r="Q72" s="47">
        <f>O72-G72</f>
        <v/>
      </c>
      <c r="R72" s="48">
        <f>Q72^2</f>
        <v/>
      </c>
      <c r="S72">
        <f>IF(P72=G72,1,0)</f>
        <v/>
      </c>
    </row>
    <row r="73" ht="14.25" customHeight="1" s="96">
      <c r="B73" s="44" t="n">
        <v>7</v>
      </c>
      <c r="C73" s="78" t="n">
        <v>5.1</v>
      </c>
      <c r="D73" s="46" t="n">
        <v>3.8</v>
      </c>
      <c r="E73" s="46" t="n">
        <v>1.6</v>
      </c>
      <c r="F73" s="46" t="n">
        <v>0.2</v>
      </c>
      <c r="G73" s="45" t="n">
        <v>0</v>
      </c>
      <c r="I73" s="44">
        <f>I72</f>
        <v/>
      </c>
      <c r="J73" s="46">
        <f>J72</f>
        <v/>
      </c>
      <c r="K73" s="46">
        <f>K72</f>
        <v/>
      </c>
      <c r="L73" s="46">
        <f>L72</f>
        <v/>
      </c>
      <c r="M73" s="46">
        <f>M72</f>
        <v/>
      </c>
      <c r="N73" s="46">
        <f>I73+J73*C73+K73*D73+L73*E73+F73*M73</f>
        <v/>
      </c>
      <c r="O73" s="46">
        <f>1/(1+EXP(-N73))</f>
        <v/>
      </c>
      <c r="P73" s="47">
        <f>IF(O73&gt;0.5,1,0)</f>
        <v/>
      </c>
      <c r="Q73" s="47">
        <f>O73-G73</f>
        <v/>
      </c>
      <c r="R73" s="48">
        <f>Q73^2</f>
        <v/>
      </c>
      <c r="S73">
        <f>IF(P73=G73,1,0)</f>
        <v/>
      </c>
    </row>
    <row r="74" ht="14.25" customHeight="1" s="96">
      <c r="B74" s="44" t="n">
        <v>8</v>
      </c>
      <c r="C74" s="78" t="n">
        <v>4.6</v>
      </c>
      <c r="D74" s="46" t="n">
        <v>3.2</v>
      </c>
      <c r="E74" s="46" t="n">
        <v>1.4</v>
      </c>
      <c r="F74" s="46" t="n">
        <v>0.2</v>
      </c>
      <c r="G74" s="45" t="n">
        <v>0</v>
      </c>
      <c r="I74" s="44">
        <f>I73</f>
        <v/>
      </c>
      <c r="J74" s="46">
        <f>J73</f>
        <v/>
      </c>
      <c r="K74" s="46">
        <f>K73</f>
        <v/>
      </c>
      <c r="L74" s="46">
        <f>L73</f>
        <v/>
      </c>
      <c r="M74" s="46">
        <f>M73</f>
        <v/>
      </c>
      <c r="N74" s="46">
        <f>I74+J74*C74+K74*D74+L74*E74+F74*M74</f>
        <v/>
      </c>
      <c r="O74" s="46">
        <f>1/(1+EXP(-N74))</f>
        <v/>
      </c>
      <c r="P74" s="47">
        <f>IF(O74&gt;0.5,1,0)</f>
        <v/>
      </c>
      <c r="Q74" s="47">
        <f>O74-G74</f>
        <v/>
      </c>
      <c r="R74" s="48">
        <f>Q74^2</f>
        <v/>
      </c>
      <c r="S74">
        <f>IF(P74=G74,1,0)</f>
        <v/>
      </c>
    </row>
    <row r="75" ht="14.25" customHeight="1" s="96">
      <c r="B75" s="44" t="n">
        <v>9</v>
      </c>
      <c r="C75" s="78" t="n">
        <v>5.3</v>
      </c>
      <c r="D75" s="46" t="n">
        <v>3.7</v>
      </c>
      <c r="E75" s="46" t="n">
        <v>1.5</v>
      </c>
      <c r="F75" s="46" t="n">
        <v>0.2</v>
      </c>
      <c r="G75" s="45" t="n">
        <v>0</v>
      </c>
      <c r="I75" s="44">
        <f>I74</f>
        <v/>
      </c>
      <c r="J75" s="46">
        <f>J74</f>
        <v/>
      </c>
      <c r="K75" s="46">
        <f>K74</f>
        <v/>
      </c>
      <c r="L75" s="46">
        <f>L74</f>
        <v/>
      </c>
      <c r="M75" s="46">
        <f>M74</f>
        <v/>
      </c>
      <c r="N75" s="46">
        <f>I75+J75*C75+K75*D75+L75*E75+F75*M75</f>
        <v/>
      </c>
      <c r="O75" s="46">
        <f>1/(1+EXP(-N75))</f>
        <v/>
      </c>
      <c r="P75" s="47">
        <f>IF(O75&gt;0.5,1,0)</f>
        <v/>
      </c>
      <c r="Q75" s="47">
        <f>O75-G75</f>
        <v/>
      </c>
      <c r="R75" s="48">
        <f>Q75^2</f>
        <v/>
      </c>
      <c r="S75">
        <f>IF(P75=G75,1,0)</f>
        <v/>
      </c>
    </row>
    <row r="76" ht="14.25" customHeight="1" s="96">
      <c r="B76" s="44" t="n">
        <v>10</v>
      </c>
      <c r="C76" s="78" t="n">
        <v>5</v>
      </c>
      <c r="D76" s="46" t="n">
        <v>3.3</v>
      </c>
      <c r="E76" s="46" t="n">
        <v>1.4</v>
      </c>
      <c r="F76" s="46" t="n">
        <v>0.2</v>
      </c>
      <c r="G76" s="45" t="n">
        <v>0</v>
      </c>
      <c r="I76" s="44">
        <f>I75</f>
        <v/>
      </c>
      <c r="J76" s="46">
        <f>J75</f>
        <v/>
      </c>
      <c r="K76" s="46">
        <f>K75</f>
        <v/>
      </c>
      <c r="L76" s="46">
        <f>L75</f>
        <v/>
      </c>
      <c r="M76" s="46">
        <f>M75</f>
        <v/>
      </c>
      <c r="N76" s="46">
        <f>I76+J76*C76+K76*D76+L76*E76+F76*M76</f>
        <v/>
      </c>
      <c r="O76" s="46">
        <f>1/(1+EXP(-N76))</f>
        <v/>
      </c>
      <c r="P76" s="47">
        <f>IF(O76&gt;0.5,1,0)</f>
        <v/>
      </c>
      <c r="Q76" s="47">
        <f>O76-G76</f>
        <v/>
      </c>
      <c r="R76" s="48">
        <f>Q76^2</f>
        <v/>
      </c>
      <c r="S76">
        <f>IF(P76=G76,1,0)</f>
        <v/>
      </c>
    </row>
    <row r="77" ht="14.25" customHeight="1" s="96">
      <c r="B77" s="44" t="n">
        <v>11</v>
      </c>
      <c r="C77" s="78" t="n">
        <v>5.5</v>
      </c>
      <c r="D77" s="46" t="n">
        <v>2.6</v>
      </c>
      <c r="E77" s="46" t="n">
        <v>4.4</v>
      </c>
      <c r="F77" s="46" t="n">
        <v>1.2</v>
      </c>
      <c r="G77" s="45" t="n">
        <v>1</v>
      </c>
      <c r="I77" s="44">
        <f>I76</f>
        <v/>
      </c>
      <c r="J77" s="46">
        <f>J76</f>
        <v/>
      </c>
      <c r="K77" s="46">
        <f>K76</f>
        <v/>
      </c>
      <c r="L77" s="46">
        <f>L76</f>
        <v/>
      </c>
      <c r="M77" s="46">
        <f>M76</f>
        <v/>
      </c>
      <c r="N77" s="46">
        <f>I77+J77*C77+K77*D77+L77*E77+F77*M77</f>
        <v/>
      </c>
      <c r="O77" s="46">
        <f>1/(1+EXP(-N77))</f>
        <v/>
      </c>
      <c r="P77" s="47">
        <f>IF(O77&gt;0.5,1,0)</f>
        <v/>
      </c>
      <c r="Q77" s="47">
        <f>O77-G77</f>
        <v/>
      </c>
      <c r="R77" s="48">
        <f>Q77^2</f>
        <v/>
      </c>
      <c r="S77">
        <f>IF(P77=G77,1,0)</f>
        <v/>
      </c>
    </row>
    <row r="78" ht="14.25" customHeight="1" s="96">
      <c r="B78" s="44" t="n">
        <v>12</v>
      </c>
      <c r="C78" s="78" t="n">
        <v>6.1</v>
      </c>
      <c r="D78" s="46" t="n">
        <v>3</v>
      </c>
      <c r="E78" s="46" t="n">
        <v>4.6</v>
      </c>
      <c r="F78" s="46" t="n">
        <v>1.4</v>
      </c>
      <c r="G78" s="45" t="n">
        <v>1</v>
      </c>
      <c r="I78" s="44">
        <f>I77</f>
        <v/>
      </c>
      <c r="J78" s="46">
        <f>J77</f>
        <v/>
      </c>
      <c r="K78" s="46">
        <f>K77</f>
        <v/>
      </c>
      <c r="L78" s="46">
        <f>L77</f>
        <v/>
      </c>
      <c r="M78" s="46">
        <f>M77</f>
        <v/>
      </c>
      <c r="N78" s="46">
        <f>I78+J78*C78+K78*D78+L78*E78+F78*M78</f>
        <v/>
      </c>
      <c r="O78" s="46">
        <f>1/(1+EXP(-N78))</f>
        <v/>
      </c>
      <c r="P78" s="47">
        <f>IF(O78&gt;0.5,1,0)</f>
        <v/>
      </c>
      <c r="Q78" s="47">
        <f>O78-G78</f>
        <v/>
      </c>
      <c r="R78" s="48">
        <f>Q78^2</f>
        <v/>
      </c>
      <c r="S78">
        <f>IF(P78=G78,1,0)</f>
        <v/>
      </c>
    </row>
    <row r="79" ht="14.25" customHeight="1" s="96">
      <c r="B79" s="44" t="n">
        <v>13</v>
      </c>
      <c r="C79" s="78" t="n">
        <v>5.8</v>
      </c>
      <c r="D79" s="46" t="n">
        <v>2.6</v>
      </c>
      <c r="E79" s="46" t="n">
        <v>4</v>
      </c>
      <c r="F79" s="46" t="n">
        <v>1.2</v>
      </c>
      <c r="G79" s="45" t="n">
        <v>1</v>
      </c>
      <c r="I79" s="44">
        <f>I78</f>
        <v/>
      </c>
      <c r="J79" s="46">
        <f>J78</f>
        <v/>
      </c>
      <c r="K79" s="46">
        <f>K78</f>
        <v/>
      </c>
      <c r="L79" s="46">
        <f>L78</f>
        <v/>
      </c>
      <c r="M79" s="46">
        <f>M78</f>
        <v/>
      </c>
      <c r="N79" s="46">
        <f>I79+J79*C79+K79*D79+L79*E79+F79*M79</f>
        <v/>
      </c>
      <c r="O79" s="46">
        <f>1/(1+EXP(-N79))</f>
        <v/>
      </c>
      <c r="P79" s="47">
        <f>IF(O79&gt;0.5,1,0)</f>
        <v/>
      </c>
      <c r="Q79" s="47">
        <f>O79-G79</f>
        <v/>
      </c>
      <c r="R79" s="48">
        <f>Q79^2</f>
        <v/>
      </c>
      <c r="S79">
        <f>IF(P79=G79,1,0)</f>
        <v/>
      </c>
    </row>
    <row r="80" ht="14.25" customHeight="1" s="96">
      <c r="B80" s="44" t="n">
        <v>14</v>
      </c>
      <c r="C80" s="78" t="n">
        <v>5</v>
      </c>
      <c r="D80" s="46" t="n">
        <v>2.3</v>
      </c>
      <c r="E80" s="46" t="n">
        <v>3.3</v>
      </c>
      <c r="F80" s="46" t="n">
        <v>1</v>
      </c>
      <c r="G80" s="45" t="n">
        <v>1</v>
      </c>
      <c r="I80" s="44">
        <f>I79</f>
        <v/>
      </c>
      <c r="J80" s="46">
        <f>J79</f>
        <v/>
      </c>
      <c r="K80" s="46">
        <f>K79</f>
        <v/>
      </c>
      <c r="L80" s="46">
        <f>L79</f>
        <v/>
      </c>
      <c r="M80" s="46">
        <f>M79</f>
        <v/>
      </c>
      <c r="N80" s="46">
        <f>I80+J80*C80+K80*D80+L80*E80+F80*M80</f>
        <v/>
      </c>
      <c r="O80" s="46">
        <f>1/(1+EXP(-N80))</f>
        <v/>
      </c>
      <c r="P80" s="47">
        <f>IF(O80&gt;0.5,1,0)</f>
        <v/>
      </c>
      <c r="Q80" s="47">
        <f>O80-G80</f>
        <v/>
      </c>
      <c r="R80" s="48">
        <f>Q80^2</f>
        <v/>
      </c>
      <c r="S80">
        <f>IF(P80=G80,1,0)</f>
        <v/>
      </c>
    </row>
    <row r="81" ht="14.25" customHeight="1" s="96">
      <c r="B81" s="44" t="n">
        <v>15</v>
      </c>
      <c r="C81" s="78" t="n">
        <v>5.6</v>
      </c>
      <c r="D81" s="46" t="n">
        <v>2.7</v>
      </c>
      <c r="E81" s="46" t="n">
        <v>4.2</v>
      </c>
      <c r="F81" s="46" t="n">
        <v>1.3</v>
      </c>
      <c r="G81" s="45" t="n">
        <v>1</v>
      </c>
      <c r="I81" s="44">
        <f>I80</f>
        <v/>
      </c>
      <c r="J81" s="46">
        <f>J80</f>
        <v/>
      </c>
      <c r="K81" s="46">
        <f>K80</f>
        <v/>
      </c>
      <c r="L81" s="46">
        <f>L80</f>
        <v/>
      </c>
      <c r="M81" s="46">
        <f>M80</f>
        <v/>
      </c>
      <c r="N81" s="46">
        <f>I81+J81*C81+K81*D81+L81*E81+F81*M81</f>
        <v/>
      </c>
      <c r="O81" s="46">
        <f>1/(1+EXP(-N81))</f>
        <v/>
      </c>
      <c r="P81" s="47">
        <f>IF(O81&gt;0.5,1,0)</f>
        <v/>
      </c>
      <c r="Q81" s="47">
        <f>O81-G81</f>
        <v/>
      </c>
      <c r="R81" s="48">
        <f>Q81^2</f>
        <v/>
      </c>
      <c r="S81">
        <f>IF(P81=G81,1,0)</f>
        <v/>
      </c>
    </row>
    <row r="82" ht="14.25" customHeight="1" s="96">
      <c r="B82" s="44" t="n">
        <v>16</v>
      </c>
      <c r="C82" s="78" t="n">
        <v>5.7</v>
      </c>
      <c r="D82" s="46" t="n">
        <v>3</v>
      </c>
      <c r="E82" s="46" t="n">
        <v>4.2</v>
      </c>
      <c r="F82" s="46" t="n">
        <v>1.2</v>
      </c>
      <c r="G82" s="45" t="n">
        <v>1</v>
      </c>
      <c r="I82" s="44">
        <f>I81</f>
        <v/>
      </c>
      <c r="J82" s="46">
        <f>J81</f>
        <v/>
      </c>
      <c r="K82" s="46">
        <f>K81</f>
        <v/>
      </c>
      <c r="L82" s="46">
        <f>L81</f>
        <v/>
      </c>
      <c r="M82" s="46">
        <f>M81</f>
        <v/>
      </c>
      <c r="N82" s="46">
        <f>I82+J82*C82+K82*D82+L82*E82+F82*M82</f>
        <v/>
      </c>
      <c r="O82" s="46">
        <f>1/(1+EXP(-N82))</f>
        <v/>
      </c>
      <c r="P82" s="47">
        <f>IF(O82&gt;0.5,1,0)</f>
        <v/>
      </c>
      <c r="Q82" s="47">
        <f>O82-G82</f>
        <v/>
      </c>
      <c r="R82" s="48">
        <f>Q82^2</f>
        <v/>
      </c>
      <c r="S82">
        <f>IF(P82=G82,1,0)</f>
        <v/>
      </c>
    </row>
    <row r="83" ht="14.25" customHeight="1" s="96">
      <c r="B83" s="44" t="n">
        <v>17</v>
      </c>
      <c r="C83" s="78" t="n">
        <v>5.7</v>
      </c>
      <c r="D83" s="46" t="n">
        <v>2.9</v>
      </c>
      <c r="E83" s="46" t="n">
        <v>4.2</v>
      </c>
      <c r="F83" s="46" t="n">
        <v>1.3</v>
      </c>
      <c r="G83" s="45" t="n">
        <v>1</v>
      </c>
      <c r="I83" s="44">
        <f>I82</f>
        <v/>
      </c>
      <c r="J83" s="46">
        <f>J82</f>
        <v/>
      </c>
      <c r="K83" s="46">
        <f>K82</f>
        <v/>
      </c>
      <c r="L83" s="46">
        <f>L82</f>
        <v/>
      </c>
      <c r="M83" s="46">
        <f>M82</f>
        <v/>
      </c>
      <c r="N83" s="46">
        <f>I83+J83*C83+K83*D83+L83*E83+F83*M83</f>
        <v/>
      </c>
      <c r="O83" s="46">
        <f>1/(1+EXP(-N83))</f>
        <v/>
      </c>
      <c r="P83" s="47">
        <f>IF(O83&gt;0.5,1,0)</f>
        <v/>
      </c>
      <c r="Q83" s="47">
        <f>O83-G83</f>
        <v/>
      </c>
      <c r="R83" s="48">
        <f>Q83^2</f>
        <v/>
      </c>
      <c r="S83">
        <f>IF(P83=G83,1,0)</f>
        <v/>
      </c>
    </row>
    <row r="84" ht="14.25" customHeight="1" s="96">
      <c r="B84" s="44" t="n">
        <v>18</v>
      </c>
      <c r="C84" s="78" t="n">
        <v>6.2</v>
      </c>
      <c r="D84" s="46" t="n">
        <v>2.9</v>
      </c>
      <c r="E84" s="46" t="n">
        <v>4.3</v>
      </c>
      <c r="F84" s="46" t="n">
        <v>1.3</v>
      </c>
      <c r="G84" s="45" t="n">
        <v>1</v>
      </c>
      <c r="I84" s="44">
        <f>I83</f>
        <v/>
      </c>
      <c r="J84" s="46">
        <f>J83</f>
        <v/>
      </c>
      <c r="K84" s="46">
        <f>K83</f>
        <v/>
      </c>
      <c r="L84" s="46">
        <f>L83</f>
        <v/>
      </c>
      <c r="M84" s="46">
        <f>M83</f>
        <v/>
      </c>
      <c r="N84" s="46">
        <f>I84+J84*C84+K84*D84+L84*E84+F84*M84</f>
        <v/>
      </c>
      <c r="O84" s="46">
        <f>1/(1+EXP(-N84))</f>
        <v/>
      </c>
      <c r="P84" s="47">
        <f>IF(O84&gt;0.5,1,0)</f>
        <v/>
      </c>
      <c r="Q84" s="47">
        <f>O84-G84</f>
        <v/>
      </c>
      <c r="R84" s="48">
        <f>Q84^2</f>
        <v/>
      </c>
      <c r="S84">
        <f>IF(P84=G84,1,0)</f>
        <v/>
      </c>
    </row>
    <row r="85" ht="14.25" customHeight="1" s="96">
      <c r="B85" s="44" t="n">
        <v>19</v>
      </c>
      <c r="C85" s="78" t="n">
        <v>5.1</v>
      </c>
      <c r="D85" s="46" t="n">
        <v>2.5</v>
      </c>
      <c r="E85" s="46" t="n">
        <v>3</v>
      </c>
      <c r="F85" s="46" t="n">
        <v>1.1</v>
      </c>
      <c r="G85" s="45" t="n">
        <v>1</v>
      </c>
      <c r="I85" s="44">
        <f>I84</f>
        <v/>
      </c>
      <c r="J85" s="46">
        <f>J84</f>
        <v/>
      </c>
      <c r="K85" s="46">
        <f>K84</f>
        <v/>
      </c>
      <c r="L85" s="46">
        <f>L84</f>
        <v/>
      </c>
      <c r="M85" s="46">
        <f>M84</f>
        <v/>
      </c>
      <c r="N85" s="46">
        <f>I85+J85*C85+K85*D85+L85*E85+F85*M85</f>
        <v/>
      </c>
      <c r="O85" s="46">
        <f>1/(1+EXP(-N85))</f>
        <v/>
      </c>
      <c r="P85" s="47">
        <f>IF(O85&gt;0.5,1,0)</f>
        <v/>
      </c>
      <c r="Q85" s="47">
        <f>O85-G85</f>
        <v/>
      </c>
      <c r="R85" s="48">
        <f>Q85^2</f>
        <v/>
      </c>
      <c r="S85">
        <f>IF(P85=G85,1,0)</f>
        <v/>
      </c>
    </row>
    <row r="86" ht="14.25" customHeight="1" s="96">
      <c r="B86" s="44" t="n">
        <v>20</v>
      </c>
      <c r="C86" s="78" t="n">
        <v>5.7</v>
      </c>
      <c r="D86" s="46" t="n">
        <v>2.8</v>
      </c>
      <c r="E86" s="46" t="n">
        <v>4.1</v>
      </c>
      <c r="F86" s="46" t="n">
        <v>1.3</v>
      </c>
      <c r="G86" s="45" t="n">
        <v>1</v>
      </c>
      <c r="I86" s="44">
        <f>I85</f>
        <v/>
      </c>
      <c r="J86" s="46">
        <f>J85</f>
        <v/>
      </c>
      <c r="K86" s="46">
        <f>K85</f>
        <v/>
      </c>
      <c r="L86" s="46">
        <f>L85</f>
        <v/>
      </c>
      <c r="M86" s="46">
        <f>M85</f>
        <v/>
      </c>
      <c r="N86" s="46">
        <f>I86+J86*C86+K86*D86+L86*E86+F86*M86</f>
        <v/>
      </c>
      <c r="O86" s="46">
        <f>1/(1+EXP(-N86))</f>
        <v/>
      </c>
      <c r="P86" s="47">
        <f>IF(O86&gt;0.5,1,0)</f>
        <v/>
      </c>
      <c r="Q86" s="47">
        <f>O86-G86</f>
        <v/>
      </c>
      <c r="R86" s="48">
        <f>Q86^2</f>
        <v/>
      </c>
      <c r="S86">
        <f>IF(P86=G86,1,0)</f>
        <v/>
      </c>
    </row>
    <row r="87" ht="14.25" customHeight="1" s="96">
      <c r="A87" s="119" t="inlineStr">
        <is>
          <t>epoch 5</t>
        </is>
      </c>
      <c r="B87" s="44" t="n">
        <v>1</v>
      </c>
      <c r="C87" s="78" t="n">
        <v>5</v>
      </c>
      <c r="D87" s="46" t="n">
        <v>3.5</v>
      </c>
      <c r="E87" s="46" t="n">
        <v>1.3</v>
      </c>
      <c r="F87" s="46" t="n">
        <v>0.3</v>
      </c>
      <c r="G87" s="45" t="n">
        <v>0</v>
      </c>
      <c r="I87" s="44">
        <f>'SLP-Training'!$AC$9</f>
        <v/>
      </c>
      <c r="J87" s="46">
        <f>'SLP-Training'!$AD$9</f>
        <v/>
      </c>
      <c r="K87" s="46">
        <f>'SLP-Training'!$AE$9</f>
        <v/>
      </c>
      <c r="L87" s="46">
        <f>'SLP-Training'!$AF$9</f>
        <v/>
      </c>
      <c r="M87" s="46">
        <f>'SLP-Training'!$AG$9</f>
        <v/>
      </c>
      <c r="N87" s="46">
        <f>I87+J87*C87+K87*D87+L87*E87+F87*M87</f>
        <v/>
      </c>
      <c r="O87" s="46">
        <f>1/(1+EXP(-N87))</f>
        <v/>
      </c>
      <c r="P87" s="47">
        <f>IF(O87&gt;0.5,1,0)</f>
        <v/>
      </c>
      <c r="Q87" s="47">
        <f>O87-G87</f>
        <v/>
      </c>
      <c r="R87" s="48">
        <f>Q87^2</f>
        <v/>
      </c>
      <c r="S87">
        <f>IF(P87=G87,1,0)</f>
        <v/>
      </c>
    </row>
    <row r="88" ht="14.25" customHeight="1" s="96">
      <c r="B88" s="44" t="n">
        <v>2</v>
      </c>
      <c r="C88" s="78" t="n">
        <v>4.5</v>
      </c>
      <c r="D88" s="46" t="n">
        <v>2.3</v>
      </c>
      <c r="E88" s="46" t="n">
        <v>1.3</v>
      </c>
      <c r="F88" s="46" t="n">
        <v>0.3</v>
      </c>
      <c r="G88" s="45" t="n">
        <v>0</v>
      </c>
      <c r="I88" s="44">
        <f>I87</f>
        <v/>
      </c>
      <c r="J88" s="46">
        <f>J87</f>
        <v/>
      </c>
      <c r="K88" s="46">
        <f>K87</f>
        <v/>
      </c>
      <c r="L88" s="46">
        <f>L87</f>
        <v/>
      </c>
      <c r="M88" s="46">
        <f>M87</f>
        <v/>
      </c>
      <c r="N88" s="46">
        <f>I88+J88*C88+K88*D88+L88*E88+F88*M88</f>
        <v/>
      </c>
      <c r="O88" s="46">
        <f>1/(1+EXP(-N88))</f>
        <v/>
      </c>
      <c r="P88" s="47">
        <f>IF(O88&gt;0.5,1,0)</f>
        <v/>
      </c>
      <c r="Q88" s="47">
        <f>O88-G88</f>
        <v/>
      </c>
      <c r="R88" s="48">
        <f>Q88^2</f>
        <v/>
      </c>
      <c r="S88">
        <f>IF(P88=G88,1,0)</f>
        <v/>
      </c>
    </row>
    <row r="89" ht="14.25" customHeight="1" s="96">
      <c r="B89" s="44" t="n">
        <v>3</v>
      </c>
      <c r="C89" s="78" t="n">
        <v>4.4</v>
      </c>
      <c r="D89" s="46" t="n">
        <v>3.2</v>
      </c>
      <c r="E89" s="46" t="n">
        <v>1.3</v>
      </c>
      <c r="F89" s="46" t="n">
        <v>0.2</v>
      </c>
      <c r="G89" s="45" t="n">
        <v>0</v>
      </c>
      <c r="I89" s="44">
        <f>I88</f>
        <v/>
      </c>
      <c r="J89" s="46">
        <f>J88</f>
        <v/>
      </c>
      <c r="K89" s="46">
        <f>K88</f>
        <v/>
      </c>
      <c r="L89" s="46">
        <f>L88</f>
        <v/>
      </c>
      <c r="M89" s="46">
        <f>M88</f>
        <v/>
      </c>
      <c r="N89" s="46">
        <f>I89+J89*C89+K89*D89+L89*E89+F89*M89</f>
        <v/>
      </c>
      <c r="O89" s="46">
        <f>1/(1+EXP(-N89))</f>
        <v/>
      </c>
      <c r="P89" s="47">
        <f>IF(O89&gt;0.5,1,0)</f>
        <v/>
      </c>
      <c r="Q89" s="47">
        <f>O89-G89</f>
        <v/>
      </c>
      <c r="R89" s="48">
        <f>Q89^2</f>
        <v/>
      </c>
      <c r="S89">
        <f>IF(P89=G89,1,0)</f>
        <v/>
      </c>
    </row>
    <row r="90" ht="14.25" customHeight="1" s="96">
      <c r="B90" s="44" t="n">
        <v>4</v>
      </c>
      <c r="C90" s="78" t="n">
        <v>5</v>
      </c>
      <c r="D90" s="46" t="n">
        <v>3.5</v>
      </c>
      <c r="E90" s="46" t="n">
        <v>1.6</v>
      </c>
      <c r="F90" s="46" t="n">
        <v>0.6</v>
      </c>
      <c r="G90" s="45" t="n">
        <v>0</v>
      </c>
      <c r="I90" s="44">
        <f>I89</f>
        <v/>
      </c>
      <c r="J90" s="46">
        <f>J89</f>
        <v/>
      </c>
      <c r="K90" s="46">
        <f>K89</f>
        <v/>
      </c>
      <c r="L90" s="46">
        <f>L89</f>
        <v/>
      </c>
      <c r="M90" s="46">
        <f>M89</f>
        <v/>
      </c>
      <c r="N90" s="46">
        <f>I90+J90*C90+K90*D90+L90*E90+F90*M90</f>
        <v/>
      </c>
      <c r="O90" s="46">
        <f>1/(1+EXP(-N90))</f>
        <v/>
      </c>
      <c r="P90" s="47">
        <f>IF(O90&gt;0.5,1,0)</f>
        <v/>
      </c>
      <c r="Q90" s="47">
        <f>O90-G90</f>
        <v/>
      </c>
      <c r="R90" s="48">
        <f>Q90^2</f>
        <v/>
      </c>
      <c r="S90">
        <f>IF(P90=G90,1,0)</f>
        <v/>
      </c>
    </row>
    <row r="91" ht="14.25" customHeight="1" s="96">
      <c r="B91" s="44" t="n">
        <v>5</v>
      </c>
      <c r="C91" s="78" t="n">
        <v>5.1</v>
      </c>
      <c r="D91" s="46" t="n">
        <v>3.8</v>
      </c>
      <c r="E91" s="46" t="n">
        <v>1.9</v>
      </c>
      <c r="F91" s="46" t="n">
        <v>0.4</v>
      </c>
      <c r="G91" s="45" t="n">
        <v>0</v>
      </c>
      <c r="I91" s="44">
        <f>I90</f>
        <v/>
      </c>
      <c r="J91" s="46">
        <f>J90</f>
        <v/>
      </c>
      <c r="K91" s="46">
        <f>K90</f>
        <v/>
      </c>
      <c r="L91" s="46">
        <f>L90</f>
        <v/>
      </c>
      <c r="M91" s="46">
        <f>M90</f>
        <v/>
      </c>
      <c r="N91" s="46">
        <f>I91+J91*C91+K91*D91+L91*E91+F91*M91</f>
        <v/>
      </c>
      <c r="O91" s="46">
        <f>1/(1+EXP(-N91))</f>
        <v/>
      </c>
      <c r="P91" s="47">
        <f>IF(O91&gt;0.5,1,0)</f>
        <v/>
      </c>
      <c r="Q91" s="47">
        <f>O91-G91</f>
        <v/>
      </c>
      <c r="R91" s="48">
        <f>Q91^2</f>
        <v/>
      </c>
      <c r="S91">
        <f>IF(P91=G91,1,0)</f>
        <v/>
      </c>
    </row>
    <row r="92" ht="14.25" customHeight="1" s="96">
      <c r="B92" s="44" t="n">
        <v>6</v>
      </c>
      <c r="C92" s="78" t="n">
        <v>4.8</v>
      </c>
      <c r="D92" s="46" t="n">
        <v>3</v>
      </c>
      <c r="E92" s="46" t="n">
        <v>1.4</v>
      </c>
      <c r="F92" s="46" t="n">
        <v>0.3</v>
      </c>
      <c r="G92" s="45" t="n">
        <v>0</v>
      </c>
      <c r="I92" s="44">
        <f>I91</f>
        <v/>
      </c>
      <c r="J92" s="46">
        <f>J91</f>
        <v/>
      </c>
      <c r="K92" s="46">
        <f>K91</f>
        <v/>
      </c>
      <c r="L92" s="46">
        <f>L91</f>
        <v/>
      </c>
      <c r="M92" s="46">
        <f>M91</f>
        <v/>
      </c>
      <c r="N92" s="46">
        <f>I92+J92*C92+K92*D92+L92*E92+F92*M92</f>
        <v/>
      </c>
      <c r="O92" s="46">
        <f>1/(1+EXP(-N92))</f>
        <v/>
      </c>
      <c r="P92" s="47">
        <f>IF(O92&gt;0.5,1,0)</f>
        <v/>
      </c>
      <c r="Q92" s="47">
        <f>O92-G92</f>
        <v/>
      </c>
      <c r="R92" s="48">
        <f>Q92^2</f>
        <v/>
      </c>
      <c r="S92">
        <f>IF(P92=G92,1,0)</f>
        <v/>
      </c>
    </row>
    <row r="93" ht="14.25" customHeight="1" s="96">
      <c r="B93" s="44" t="n">
        <v>7</v>
      </c>
      <c r="C93" s="78" t="n">
        <v>5.1</v>
      </c>
      <c r="D93" s="46" t="n">
        <v>3.8</v>
      </c>
      <c r="E93" s="46" t="n">
        <v>1.6</v>
      </c>
      <c r="F93" s="46" t="n">
        <v>0.2</v>
      </c>
      <c r="G93" s="45" t="n">
        <v>0</v>
      </c>
      <c r="I93" s="44">
        <f>I92</f>
        <v/>
      </c>
      <c r="J93" s="46">
        <f>J92</f>
        <v/>
      </c>
      <c r="K93" s="46">
        <f>K92</f>
        <v/>
      </c>
      <c r="L93" s="46">
        <f>L92</f>
        <v/>
      </c>
      <c r="M93" s="46">
        <f>M92</f>
        <v/>
      </c>
      <c r="N93" s="46">
        <f>I93+J93*C93+K93*D93+L93*E93+F93*M93</f>
        <v/>
      </c>
      <c r="O93" s="46">
        <f>1/(1+EXP(-N93))</f>
        <v/>
      </c>
      <c r="P93" s="47">
        <f>IF(O93&gt;0.5,1,0)</f>
        <v/>
      </c>
      <c r="Q93" s="47">
        <f>O93-G93</f>
        <v/>
      </c>
      <c r="R93" s="48">
        <f>Q93^2</f>
        <v/>
      </c>
      <c r="S93">
        <f>IF(P93=G93,1,0)</f>
        <v/>
      </c>
    </row>
    <row r="94" ht="14.25" customHeight="1" s="96">
      <c r="B94" s="44" t="n">
        <v>8</v>
      </c>
      <c r="C94" s="78" t="n">
        <v>4.6</v>
      </c>
      <c r="D94" s="46" t="n">
        <v>3.2</v>
      </c>
      <c r="E94" s="46" t="n">
        <v>1.4</v>
      </c>
      <c r="F94" s="46" t="n">
        <v>0.2</v>
      </c>
      <c r="G94" s="45" t="n">
        <v>0</v>
      </c>
      <c r="I94" s="44">
        <f>I93</f>
        <v/>
      </c>
      <c r="J94" s="46">
        <f>J93</f>
        <v/>
      </c>
      <c r="K94" s="46">
        <f>K93</f>
        <v/>
      </c>
      <c r="L94" s="46">
        <f>L93</f>
        <v/>
      </c>
      <c r="M94" s="46">
        <f>M93</f>
        <v/>
      </c>
      <c r="N94" s="46">
        <f>I94+J94*C94+K94*D94+L94*E94+F94*M94</f>
        <v/>
      </c>
      <c r="O94" s="46">
        <f>1/(1+EXP(-N94))</f>
        <v/>
      </c>
      <c r="P94" s="47">
        <f>IF(O94&gt;0.5,1,0)</f>
        <v/>
      </c>
      <c r="Q94" s="47">
        <f>O94-G94</f>
        <v/>
      </c>
      <c r="R94" s="48">
        <f>Q94^2</f>
        <v/>
      </c>
      <c r="S94">
        <f>IF(P94=G94,1,0)</f>
        <v/>
      </c>
    </row>
    <row r="95" ht="14.25" customHeight="1" s="96">
      <c r="B95" s="44" t="n">
        <v>9</v>
      </c>
      <c r="C95" s="78" t="n">
        <v>5.3</v>
      </c>
      <c r="D95" s="46" t="n">
        <v>3.7</v>
      </c>
      <c r="E95" s="46" t="n">
        <v>1.5</v>
      </c>
      <c r="F95" s="46" t="n">
        <v>0.2</v>
      </c>
      <c r="G95" s="45" t="n">
        <v>0</v>
      </c>
      <c r="I95" s="44">
        <f>I94</f>
        <v/>
      </c>
      <c r="J95" s="46">
        <f>J94</f>
        <v/>
      </c>
      <c r="K95" s="46">
        <f>K94</f>
        <v/>
      </c>
      <c r="L95" s="46">
        <f>L94</f>
        <v/>
      </c>
      <c r="M95" s="46">
        <f>M94</f>
        <v/>
      </c>
      <c r="N95" s="46">
        <f>I95+J95*C95+K95*D95+L95*E95+F95*M95</f>
        <v/>
      </c>
      <c r="O95" s="46">
        <f>1/(1+EXP(-N95))</f>
        <v/>
      </c>
      <c r="P95" s="47">
        <f>IF(O95&gt;0.5,1,0)</f>
        <v/>
      </c>
      <c r="Q95" s="47">
        <f>O95-G95</f>
        <v/>
      </c>
      <c r="R95" s="48">
        <f>Q95^2</f>
        <v/>
      </c>
      <c r="S95">
        <f>IF(P95=G95,1,0)</f>
        <v/>
      </c>
    </row>
    <row r="96" ht="14.25" customHeight="1" s="96">
      <c r="B96" s="44" t="n">
        <v>10</v>
      </c>
      <c r="C96" s="78" t="n">
        <v>5</v>
      </c>
      <c r="D96" s="46" t="n">
        <v>3.3</v>
      </c>
      <c r="E96" s="46" t="n">
        <v>1.4</v>
      </c>
      <c r="F96" s="46" t="n">
        <v>0.2</v>
      </c>
      <c r="G96" s="45" t="n">
        <v>0</v>
      </c>
      <c r="I96" s="44">
        <f>I95</f>
        <v/>
      </c>
      <c r="J96" s="46">
        <f>J95</f>
        <v/>
      </c>
      <c r="K96" s="46">
        <f>K95</f>
        <v/>
      </c>
      <c r="L96" s="46">
        <f>L95</f>
        <v/>
      </c>
      <c r="M96" s="46">
        <f>M95</f>
        <v/>
      </c>
      <c r="N96" s="46">
        <f>I96+J96*C96+K96*D96+L96*E96+F96*M96</f>
        <v/>
      </c>
      <c r="O96" s="46">
        <f>1/(1+EXP(-N96))</f>
        <v/>
      </c>
      <c r="P96" s="47">
        <f>IF(O96&gt;0.5,1,0)</f>
        <v/>
      </c>
      <c r="Q96" s="47">
        <f>O96-G96</f>
        <v/>
      </c>
      <c r="R96" s="48">
        <f>Q96^2</f>
        <v/>
      </c>
      <c r="S96">
        <f>IF(P96=G96,1,0)</f>
        <v/>
      </c>
    </row>
    <row r="97" ht="14.25" customHeight="1" s="96">
      <c r="B97" s="44" t="n">
        <v>11</v>
      </c>
      <c r="C97" s="78" t="n">
        <v>5.5</v>
      </c>
      <c r="D97" s="46" t="n">
        <v>2.6</v>
      </c>
      <c r="E97" s="46" t="n">
        <v>4.4</v>
      </c>
      <c r="F97" s="46" t="n">
        <v>1.2</v>
      </c>
      <c r="G97" s="45" t="n">
        <v>1</v>
      </c>
      <c r="I97" s="44">
        <f>I96</f>
        <v/>
      </c>
      <c r="J97" s="46">
        <f>J96</f>
        <v/>
      </c>
      <c r="K97" s="46">
        <f>K96</f>
        <v/>
      </c>
      <c r="L97" s="46">
        <f>L96</f>
        <v/>
      </c>
      <c r="M97" s="46">
        <f>M96</f>
        <v/>
      </c>
      <c r="N97" s="46">
        <f>I97+J97*C97+K97*D97+L97*E97+F97*M97</f>
        <v/>
      </c>
      <c r="O97" s="46">
        <f>1/(1+EXP(-N97))</f>
        <v/>
      </c>
      <c r="P97" s="47">
        <f>IF(O97&gt;0.5,1,0)</f>
        <v/>
      </c>
      <c r="Q97" s="47">
        <f>O97-G97</f>
        <v/>
      </c>
      <c r="R97" s="48">
        <f>Q97^2</f>
        <v/>
      </c>
      <c r="S97">
        <f>IF(P97=G97,1,0)</f>
        <v/>
      </c>
    </row>
    <row r="98" ht="14.25" customHeight="1" s="96">
      <c r="B98" s="44" t="n">
        <v>12</v>
      </c>
      <c r="C98" s="78" t="n">
        <v>6.1</v>
      </c>
      <c r="D98" s="46" t="n">
        <v>3</v>
      </c>
      <c r="E98" s="46" t="n">
        <v>4.6</v>
      </c>
      <c r="F98" s="46" t="n">
        <v>1.4</v>
      </c>
      <c r="G98" s="45" t="n">
        <v>1</v>
      </c>
      <c r="I98" s="44">
        <f>I97</f>
        <v/>
      </c>
      <c r="J98" s="46">
        <f>J97</f>
        <v/>
      </c>
      <c r="K98" s="46">
        <f>K97</f>
        <v/>
      </c>
      <c r="L98" s="46">
        <f>L97</f>
        <v/>
      </c>
      <c r="M98" s="46">
        <f>M97</f>
        <v/>
      </c>
      <c r="N98" s="46">
        <f>I98+J98*C98+K98*D98+L98*E98+F98*M98</f>
        <v/>
      </c>
      <c r="O98" s="46">
        <f>1/(1+EXP(-N98))</f>
        <v/>
      </c>
      <c r="P98" s="47">
        <f>IF(O98&gt;0.5,1,0)</f>
        <v/>
      </c>
      <c r="Q98" s="47">
        <f>O98-G98</f>
        <v/>
      </c>
      <c r="R98" s="48">
        <f>Q98^2</f>
        <v/>
      </c>
      <c r="S98">
        <f>IF(P98=G98,1,0)</f>
        <v/>
      </c>
    </row>
    <row r="99" ht="14.25" customHeight="1" s="96">
      <c r="B99" s="44" t="n">
        <v>13</v>
      </c>
      <c r="C99" s="78" t="n">
        <v>5.8</v>
      </c>
      <c r="D99" s="46" t="n">
        <v>2.6</v>
      </c>
      <c r="E99" s="46" t="n">
        <v>4</v>
      </c>
      <c r="F99" s="46" t="n">
        <v>1.2</v>
      </c>
      <c r="G99" s="45" t="n">
        <v>1</v>
      </c>
      <c r="I99" s="44">
        <f>I98</f>
        <v/>
      </c>
      <c r="J99" s="46">
        <f>J98</f>
        <v/>
      </c>
      <c r="K99" s="46">
        <f>K98</f>
        <v/>
      </c>
      <c r="L99" s="46">
        <f>L98</f>
        <v/>
      </c>
      <c r="M99" s="46">
        <f>M98</f>
        <v/>
      </c>
      <c r="N99" s="46">
        <f>I99+J99*C99+K99*D99+L99*E99+F99*M99</f>
        <v/>
      </c>
      <c r="O99" s="46">
        <f>1/(1+EXP(-N99))</f>
        <v/>
      </c>
      <c r="P99" s="47">
        <f>IF(O99&gt;0.5,1,0)</f>
        <v/>
      </c>
      <c r="Q99" s="47">
        <f>O99-G99</f>
        <v/>
      </c>
      <c r="R99" s="48">
        <f>Q99^2</f>
        <v/>
      </c>
      <c r="S99">
        <f>IF(P99=G99,1,0)</f>
        <v/>
      </c>
    </row>
    <row r="100" ht="14.25" customHeight="1" s="96">
      <c r="B100" s="44" t="n">
        <v>14</v>
      </c>
      <c r="C100" s="78" t="n">
        <v>5</v>
      </c>
      <c r="D100" s="46" t="n">
        <v>2.3</v>
      </c>
      <c r="E100" s="46" t="n">
        <v>3.3</v>
      </c>
      <c r="F100" s="46" t="n">
        <v>1</v>
      </c>
      <c r="G100" s="45" t="n">
        <v>1</v>
      </c>
      <c r="I100" s="44">
        <f>I99</f>
        <v/>
      </c>
      <c r="J100" s="46">
        <f>J99</f>
        <v/>
      </c>
      <c r="K100" s="46">
        <f>K99</f>
        <v/>
      </c>
      <c r="L100" s="46">
        <f>L99</f>
        <v/>
      </c>
      <c r="M100" s="46">
        <f>M99</f>
        <v/>
      </c>
      <c r="N100" s="46">
        <f>I100+J100*C100+K100*D100+L100*E100+F100*M100</f>
        <v/>
      </c>
      <c r="O100" s="46">
        <f>1/(1+EXP(-N100))</f>
        <v/>
      </c>
      <c r="P100" s="47">
        <f>IF(O100&gt;0.5,1,0)</f>
        <v/>
      </c>
      <c r="Q100" s="47">
        <f>O100-G100</f>
        <v/>
      </c>
      <c r="R100" s="48">
        <f>Q100^2</f>
        <v/>
      </c>
      <c r="S100">
        <f>IF(P100=G100,1,0)</f>
        <v/>
      </c>
    </row>
    <row r="101" ht="14.25" customHeight="1" s="96">
      <c r="B101" s="44" t="n">
        <v>15</v>
      </c>
      <c r="C101" s="78" t="n">
        <v>5.6</v>
      </c>
      <c r="D101" s="46" t="n">
        <v>2.7</v>
      </c>
      <c r="E101" s="46" t="n">
        <v>4.2</v>
      </c>
      <c r="F101" s="46" t="n">
        <v>1.3</v>
      </c>
      <c r="G101" s="45" t="n">
        <v>1</v>
      </c>
      <c r="I101" s="44">
        <f>I100</f>
        <v/>
      </c>
      <c r="J101" s="46">
        <f>J100</f>
        <v/>
      </c>
      <c r="K101" s="46">
        <f>K100</f>
        <v/>
      </c>
      <c r="L101" s="46">
        <f>L100</f>
        <v/>
      </c>
      <c r="M101" s="46">
        <f>M100</f>
        <v/>
      </c>
      <c r="N101" s="46">
        <f>I101+J101*C101+K101*D101+L101*E101+F101*M101</f>
        <v/>
      </c>
      <c r="O101" s="46">
        <f>1/(1+EXP(-N101))</f>
        <v/>
      </c>
      <c r="P101" s="47">
        <f>IF(O101&gt;0.5,1,0)</f>
        <v/>
      </c>
      <c r="Q101" s="47">
        <f>O101-G101</f>
        <v/>
      </c>
      <c r="R101" s="48">
        <f>Q101^2</f>
        <v/>
      </c>
      <c r="S101">
        <f>IF(P101=G101,1,0)</f>
        <v/>
      </c>
    </row>
    <row r="102" ht="14.25" customHeight="1" s="96">
      <c r="B102" s="44" t="n">
        <v>16</v>
      </c>
      <c r="C102" s="78" t="n">
        <v>5.7</v>
      </c>
      <c r="D102" s="46" t="n">
        <v>3</v>
      </c>
      <c r="E102" s="46" t="n">
        <v>4.2</v>
      </c>
      <c r="F102" s="46" t="n">
        <v>1.2</v>
      </c>
      <c r="G102" s="45" t="n">
        <v>1</v>
      </c>
      <c r="I102" s="44">
        <f>I101</f>
        <v/>
      </c>
      <c r="J102" s="46">
        <f>J101</f>
        <v/>
      </c>
      <c r="K102" s="46">
        <f>K101</f>
        <v/>
      </c>
      <c r="L102" s="46">
        <f>L101</f>
        <v/>
      </c>
      <c r="M102" s="46">
        <f>M101</f>
        <v/>
      </c>
      <c r="N102" s="46">
        <f>I102+J102*C102+K102*D102+L102*E102+F102*M102</f>
        <v/>
      </c>
      <c r="O102" s="46">
        <f>1/(1+EXP(-N102))</f>
        <v/>
      </c>
      <c r="P102" s="47">
        <f>IF(O102&gt;0.5,1,0)</f>
        <v/>
      </c>
      <c r="Q102" s="47">
        <f>O102-G102</f>
        <v/>
      </c>
      <c r="R102" s="48">
        <f>Q102^2</f>
        <v/>
      </c>
      <c r="S102">
        <f>IF(P102=G102,1,0)</f>
        <v/>
      </c>
    </row>
    <row r="103" ht="14.25" customHeight="1" s="96">
      <c r="B103" s="44" t="n">
        <v>17</v>
      </c>
      <c r="C103" s="78" t="n">
        <v>5.7</v>
      </c>
      <c r="D103" s="46" t="n">
        <v>2.9</v>
      </c>
      <c r="E103" s="46" t="n">
        <v>4.2</v>
      </c>
      <c r="F103" s="46" t="n">
        <v>1.3</v>
      </c>
      <c r="G103" s="45" t="n">
        <v>1</v>
      </c>
      <c r="I103" s="44">
        <f>I102</f>
        <v/>
      </c>
      <c r="J103" s="46">
        <f>J102</f>
        <v/>
      </c>
      <c r="K103" s="46">
        <f>K102</f>
        <v/>
      </c>
      <c r="L103" s="46">
        <f>L102</f>
        <v/>
      </c>
      <c r="M103" s="46">
        <f>M102</f>
        <v/>
      </c>
      <c r="N103" s="46">
        <f>I103+J103*C103+K103*D103+L103*E103+F103*M103</f>
        <v/>
      </c>
      <c r="O103" s="46">
        <f>1/(1+EXP(-N103))</f>
        <v/>
      </c>
      <c r="P103" s="47">
        <f>IF(O103&gt;0.5,1,0)</f>
        <v/>
      </c>
      <c r="Q103" s="47">
        <f>O103-G103</f>
        <v/>
      </c>
      <c r="R103" s="48">
        <f>Q103^2</f>
        <v/>
      </c>
      <c r="S103">
        <f>IF(P103=G103,1,0)</f>
        <v/>
      </c>
    </row>
    <row r="104" ht="14.25" customHeight="1" s="96">
      <c r="B104" s="44" t="n">
        <v>18</v>
      </c>
      <c r="C104" s="78" t="n">
        <v>6.2</v>
      </c>
      <c r="D104" s="46" t="n">
        <v>2.9</v>
      </c>
      <c r="E104" s="46" t="n">
        <v>4.3</v>
      </c>
      <c r="F104" s="46" t="n">
        <v>1.3</v>
      </c>
      <c r="G104" s="45" t="n">
        <v>1</v>
      </c>
      <c r="I104" s="44">
        <f>I103</f>
        <v/>
      </c>
      <c r="J104" s="46">
        <f>J103</f>
        <v/>
      </c>
      <c r="K104" s="46">
        <f>K103</f>
        <v/>
      </c>
      <c r="L104" s="46">
        <f>L103</f>
        <v/>
      </c>
      <c r="M104" s="46">
        <f>M103</f>
        <v/>
      </c>
      <c r="N104" s="46">
        <f>I104+J104*C104+K104*D104+L104*E104+F104*M104</f>
        <v/>
      </c>
      <c r="O104" s="46">
        <f>1/(1+EXP(-N104))</f>
        <v/>
      </c>
      <c r="P104" s="47">
        <f>IF(O104&gt;0.5,1,0)</f>
        <v/>
      </c>
      <c r="Q104" s="47">
        <f>O104-G104</f>
        <v/>
      </c>
      <c r="R104" s="48">
        <f>Q104^2</f>
        <v/>
      </c>
      <c r="S104">
        <f>IF(P104=G104,1,0)</f>
        <v/>
      </c>
    </row>
    <row r="105" ht="14.25" customHeight="1" s="96">
      <c r="B105" s="44" t="n">
        <v>19</v>
      </c>
      <c r="C105" s="78" t="n">
        <v>5.1</v>
      </c>
      <c r="D105" s="46" t="n">
        <v>2.5</v>
      </c>
      <c r="E105" s="46" t="n">
        <v>3</v>
      </c>
      <c r="F105" s="46" t="n">
        <v>1.1</v>
      </c>
      <c r="G105" s="45" t="n">
        <v>1</v>
      </c>
      <c r="I105" s="44">
        <f>I104</f>
        <v/>
      </c>
      <c r="J105" s="46">
        <f>J104</f>
        <v/>
      </c>
      <c r="K105" s="46">
        <f>K104</f>
        <v/>
      </c>
      <c r="L105" s="46">
        <f>L104</f>
        <v/>
      </c>
      <c r="M105" s="46">
        <f>M104</f>
        <v/>
      </c>
      <c r="N105" s="46">
        <f>I105+J105*C105+K105*D105+L105*E105+F105*M105</f>
        <v/>
      </c>
      <c r="O105" s="46">
        <f>1/(1+EXP(-N105))</f>
        <v/>
      </c>
      <c r="P105" s="47">
        <f>IF(O105&gt;0.5,1,0)</f>
        <v/>
      </c>
      <c r="Q105" s="47">
        <f>O105-G105</f>
        <v/>
      </c>
      <c r="R105" s="48">
        <f>Q105^2</f>
        <v/>
      </c>
      <c r="S105">
        <f>IF(P105=G105,1,0)</f>
        <v/>
      </c>
    </row>
    <row r="106" ht="14.25" customHeight="1" s="96">
      <c r="B106" s="44" t="n">
        <v>20</v>
      </c>
      <c r="C106" s="78" t="n">
        <v>5.7</v>
      </c>
      <c r="D106" s="46" t="n">
        <v>2.8</v>
      </c>
      <c r="E106" s="46" t="n">
        <v>4.1</v>
      </c>
      <c r="F106" s="46" t="n">
        <v>1.3</v>
      </c>
      <c r="G106" s="45" t="n">
        <v>1</v>
      </c>
      <c r="I106" s="44">
        <f>I105</f>
        <v/>
      </c>
      <c r="J106" s="46">
        <f>J105</f>
        <v/>
      </c>
      <c r="K106" s="46">
        <f>K105</f>
        <v/>
      </c>
      <c r="L106" s="46">
        <f>L105</f>
        <v/>
      </c>
      <c r="M106" s="46">
        <f>M105</f>
        <v/>
      </c>
      <c r="N106" s="46">
        <f>I106+J106*C106+K106*D106+L106*E106+F106*M106</f>
        <v/>
      </c>
      <c r="O106" s="46">
        <f>1/(1+EXP(-N106))</f>
        <v/>
      </c>
      <c r="P106" s="47">
        <f>IF(O106&gt;0.5,1,0)</f>
        <v/>
      </c>
      <c r="Q106" s="47">
        <f>O106-G106</f>
        <v/>
      </c>
      <c r="R106" s="48">
        <f>Q106^2</f>
        <v/>
      </c>
      <c r="S106">
        <f>IF(P106=G106,1,0)</f>
        <v/>
      </c>
    </row>
    <row r="107" ht="14.25" customHeight="1" s="96">
      <c r="B107" s="44" t="n"/>
      <c r="C107" s="78" t="n"/>
      <c r="D107" s="46" t="n"/>
      <c r="E107" s="46" t="n"/>
      <c r="F107" s="46" t="n"/>
      <c r="G107" s="45" t="n"/>
      <c r="I107" s="44" t="n"/>
      <c r="J107" s="46" t="n"/>
      <c r="K107" s="46" t="n"/>
      <c r="L107" s="46" t="n"/>
      <c r="M107" s="46" t="n"/>
      <c r="N107" s="46" t="n"/>
      <c r="O107" s="46" t="n"/>
      <c r="P107" s="47" t="n"/>
      <c r="Q107" s="47" t="n"/>
      <c r="R107" s="48" t="n"/>
    </row>
    <row r="108" ht="14.25" customHeight="1" s="96">
      <c r="B108" s="44" t="n"/>
      <c r="C108" s="78" t="n"/>
      <c r="D108" s="46" t="n"/>
      <c r="E108" s="46" t="n"/>
      <c r="F108" s="46" t="n"/>
      <c r="G108" s="45" t="n"/>
      <c r="I108" s="44" t="n"/>
      <c r="J108" s="46" t="n"/>
      <c r="K108" s="46" t="n"/>
      <c r="L108" s="46" t="n"/>
      <c r="M108" s="46" t="n"/>
      <c r="N108" s="46" t="n"/>
      <c r="O108" s="46" t="n"/>
      <c r="P108" s="47" t="n"/>
      <c r="Q108" s="47" t="n"/>
      <c r="R108" s="48" t="n"/>
    </row>
    <row r="109" ht="14.25" customHeight="1" s="96">
      <c r="B109" s="44" t="n"/>
      <c r="C109" s="78" t="n"/>
      <c r="D109" s="46" t="n"/>
      <c r="E109" s="46" t="n"/>
      <c r="F109" s="46" t="n"/>
      <c r="G109" s="45" t="n"/>
      <c r="I109" s="44" t="n"/>
      <c r="J109" s="46" t="n"/>
      <c r="K109" s="46" t="n"/>
      <c r="L109" s="46" t="n"/>
      <c r="M109" s="46" t="n"/>
      <c r="N109" s="46" t="n"/>
      <c r="O109" s="46" t="n"/>
      <c r="P109" s="47" t="n"/>
      <c r="Q109" s="47" t="n"/>
      <c r="R109" s="48" t="n"/>
    </row>
    <row r="110" ht="14.25" customHeight="1" s="96">
      <c r="B110" s="44" t="n"/>
      <c r="C110" s="78" t="n"/>
      <c r="D110" s="46" t="n"/>
      <c r="E110" s="46" t="n"/>
      <c r="F110" s="46" t="n"/>
      <c r="G110" s="45" t="n"/>
      <c r="I110" s="44" t="n"/>
      <c r="J110" s="46" t="n"/>
      <c r="K110" s="46" t="n"/>
      <c r="L110" s="46" t="n"/>
      <c r="M110" s="46" t="n"/>
      <c r="N110" s="46" t="n"/>
      <c r="O110" s="46" t="n"/>
      <c r="P110" s="47" t="n"/>
      <c r="Q110" s="47" t="n"/>
      <c r="R110" s="48" t="n"/>
    </row>
    <row r="111" ht="14.25" customHeight="1" s="96">
      <c r="B111" s="44" t="n"/>
      <c r="C111" s="78" t="n"/>
      <c r="D111" s="46" t="n"/>
      <c r="E111" s="46" t="n"/>
      <c r="F111" s="46" t="n"/>
      <c r="G111" s="45" t="n"/>
      <c r="I111" s="44" t="n"/>
      <c r="J111" s="46" t="n"/>
      <c r="K111" s="46" t="n"/>
      <c r="L111" s="46" t="n"/>
      <c r="M111" s="46" t="n"/>
      <c r="N111" s="46" t="n"/>
      <c r="O111" s="46" t="n"/>
      <c r="P111" s="47" t="n"/>
      <c r="Q111" s="47" t="n"/>
      <c r="R111" s="48" t="n"/>
    </row>
    <row r="112" ht="14.25" customHeight="1" s="96">
      <c r="B112" s="44" t="n"/>
      <c r="C112" s="78" t="n"/>
      <c r="D112" s="46" t="n"/>
      <c r="E112" s="46" t="n"/>
      <c r="F112" s="46" t="n"/>
      <c r="G112" s="45" t="n"/>
      <c r="I112" s="44" t="n"/>
      <c r="J112" s="46" t="n"/>
      <c r="K112" s="46" t="n"/>
      <c r="L112" s="46" t="n"/>
      <c r="M112" s="46" t="n"/>
      <c r="N112" s="46" t="n"/>
      <c r="O112" s="46" t="n"/>
      <c r="P112" s="47" t="n"/>
      <c r="Q112" s="47" t="n"/>
      <c r="R112" s="48" t="n"/>
    </row>
    <row r="113" ht="14.25" customHeight="1" s="96">
      <c r="B113" s="44" t="n"/>
      <c r="C113" s="78" t="n"/>
      <c r="D113" s="46" t="n"/>
      <c r="E113" s="46" t="n"/>
      <c r="F113" s="46" t="n"/>
      <c r="G113" s="45" t="n"/>
      <c r="I113" s="44" t="n"/>
      <c r="J113" s="46" t="n"/>
      <c r="K113" s="46" t="n"/>
      <c r="L113" s="46" t="n"/>
      <c r="M113" s="46" t="n"/>
      <c r="N113" s="46" t="n"/>
      <c r="O113" s="46" t="n"/>
      <c r="P113" s="47" t="n"/>
      <c r="Q113" s="47" t="n"/>
      <c r="R113" s="48" t="n"/>
    </row>
    <row r="114" ht="14.25" customHeight="1" s="96">
      <c r="B114" s="44" t="n"/>
      <c r="C114" s="78" t="n"/>
      <c r="D114" s="46" t="n"/>
      <c r="E114" s="46" t="n"/>
      <c r="F114" s="46" t="n"/>
      <c r="G114" s="45" t="n"/>
      <c r="I114" s="44" t="n"/>
      <c r="J114" s="46" t="n"/>
      <c r="K114" s="46" t="n"/>
      <c r="L114" s="46" t="n"/>
      <c r="M114" s="46" t="n"/>
      <c r="N114" s="46" t="n"/>
      <c r="O114" s="46" t="n"/>
      <c r="P114" s="47" t="n"/>
      <c r="Q114" s="47" t="n"/>
      <c r="R114" s="48" t="n"/>
    </row>
    <row r="115" ht="14.25" customHeight="1" s="96">
      <c r="B115" s="44" t="n"/>
      <c r="C115" s="78" t="n"/>
      <c r="D115" s="46" t="n"/>
      <c r="E115" s="46" t="n"/>
      <c r="F115" s="46" t="n"/>
      <c r="G115" s="45" t="n"/>
      <c r="I115" s="44" t="n"/>
      <c r="J115" s="46" t="n"/>
      <c r="K115" s="46" t="n"/>
      <c r="L115" s="46" t="n"/>
      <c r="M115" s="46" t="n"/>
      <c r="N115" s="46" t="n"/>
      <c r="O115" s="46" t="n"/>
      <c r="P115" s="47" t="n"/>
      <c r="Q115" s="47" t="n"/>
      <c r="R115" s="48" t="n"/>
    </row>
    <row r="116" ht="14.25" customHeight="1" s="96">
      <c r="B116" s="44" t="n"/>
      <c r="C116" s="78" t="n"/>
      <c r="D116" s="46" t="n"/>
      <c r="E116" s="46" t="n"/>
      <c r="F116" s="46" t="n"/>
      <c r="G116" s="45" t="n"/>
      <c r="I116" s="44" t="n"/>
      <c r="J116" s="46" t="n"/>
      <c r="K116" s="46" t="n"/>
      <c r="L116" s="46" t="n"/>
      <c r="M116" s="46" t="n"/>
      <c r="N116" s="46" t="n"/>
      <c r="O116" s="46" t="n"/>
      <c r="P116" s="47" t="n"/>
      <c r="Q116" s="47" t="n"/>
      <c r="R116" s="48" t="n"/>
    </row>
    <row r="117" ht="14.25" customHeight="1" s="96">
      <c r="B117" s="44" t="n"/>
      <c r="C117" s="78" t="n"/>
      <c r="D117" s="46" t="n"/>
      <c r="E117" s="46" t="n"/>
      <c r="F117" s="46" t="n"/>
      <c r="G117" s="45" t="n"/>
      <c r="I117" s="44" t="n"/>
      <c r="J117" s="46" t="n"/>
      <c r="K117" s="46" t="n"/>
      <c r="L117" s="46" t="n"/>
      <c r="M117" s="46" t="n"/>
      <c r="N117" s="46" t="n"/>
      <c r="O117" s="46" t="n"/>
      <c r="P117" s="47" t="n"/>
      <c r="Q117" s="47" t="n"/>
      <c r="R117" s="48" t="n"/>
    </row>
    <row r="118" ht="14.25" customHeight="1" s="96">
      <c r="B118" s="44" t="n"/>
      <c r="C118" s="78" t="n"/>
      <c r="D118" s="46" t="n"/>
      <c r="E118" s="46" t="n"/>
      <c r="F118" s="46" t="n"/>
      <c r="G118" s="45" t="n"/>
      <c r="I118" s="44" t="n"/>
      <c r="J118" s="46" t="n"/>
      <c r="K118" s="46" t="n"/>
      <c r="L118" s="46" t="n"/>
      <c r="M118" s="46" t="n"/>
      <c r="N118" s="46" t="n"/>
      <c r="O118" s="46" t="n"/>
      <c r="P118" s="47" t="n"/>
      <c r="Q118" s="47" t="n"/>
      <c r="R118" s="48" t="n"/>
    </row>
    <row r="119" ht="14.25" customHeight="1" s="96">
      <c r="B119" s="44" t="n"/>
      <c r="C119" s="78" t="n"/>
      <c r="D119" s="46" t="n"/>
      <c r="E119" s="46" t="n"/>
      <c r="F119" s="46" t="n"/>
      <c r="G119" s="45" t="n"/>
      <c r="I119" s="44" t="n"/>
      <c r="J119" s="46" t="n"/>
      <c r="K119" s="46" t="n"/>
      <c r="L119" s="46" t="n"/>
      <c r="M119" s="46" t="n"/>
      <c r="N119" s="46" t="n"/>
      <c r="O119" s="46" t="n"/>
      <c r="P119" s="47" t="n"/>
      <c r="Q119" s="47" t="n"/>
      <c r="R119" s="48" t="n"/>
    </row>
    <row r="120" ht="14.25" customHeight="1" s="96">
      <c r="B120" s="44" t="n"/>
      <c r="C120" s="78" t="n"/>
      <c r="D120" s="46" t="n"/>
      <c r="E120" s="46" t="n"/>
      <c r="F120" s="46" t="n"/>
      <c r="G120" s="45" t="n"/>
      <c r="I120" s="44" t="n"/>
      <c r="J120" s="46" t="n"/>
      <c r="K120" s="46" t="n"/>
      <c r="L120" s="46" t="n"/>
      <c r="M120" s="46" t="n"/>
      <c r="N120" s="46" t="n"/>
      <c r="O120" s="46" t="n"/>
      <c r="P120" s="47" t="n"/>
      <c r="Q120" s="47" t="n"/>
      <c r="R120" s="48" t="n"/>
    </row>
    <row r="121" ht="14.25" customHeight="1" s="96">
      <c r="B121" s="44" t="n"/>
      <c r="C121" s="78" t="n"/>
      <c r="D121" s="46" t="n"/>
      <c r="E121" s="46" t="n"/>
      <c r="F121" s="46" t="n"/>
      <c r="G121" s="45" t="n"/>
      <c r="I121" s="44" t="n"/>
      <c r="J121" s="46" t="n"/>
      <c r="K121" s="46" t="n"/>
      <c r="L121" s="46" t="n"/>
      <c r="M121" s="46" t="n"/>
      <c r="N121" s="46" t="n"/>
      <c r="O121" s="46" t="n"/>
      <c r="P121" s="47" t="n"/>
      <c r="Q121" s="47" t="n"/>
      <c r="R121" s="48" t="n"/>
    </row>
    <row r="122" ht="14.25" customHeight="1" s="96">
      <c r="B122" s="44" t="n"/>
      <c r="C122" s="78" t="n"/>
      <c r="D122" s="46" t="n"/>
      <c r="E122" s="46" t="n"/>
      <c r="F122" s="46" t="n"/>
      <c r="G122" s="45" t="n"/>
      <c r="I122" s="44" t="n"/>
      <c r="J122" s="46" t="n"/>
      <c r="K122" s="46" t="n"/>
      <c r="L122" s="46" t="n"/>
      <c r="M122" s="46" t="n"/>
      <c r="N122" s="46" t="n"/>
      <c r="O122" s="46" t="n"/>
      <c r="P122" s="47" t="n"/>
      <c r="Q122" s="47" t="n"/>
      <c r="R122" s="48" t="n"/>
    </row>
    <row r="123" ht="14.25" customHeight="1" s="96">
      <c r="B123" s="44" t="n"/>
      <c r="C123" s="78" t="n"/>
      <c r="D123" s="46" t="n"/>
      <c r="E123" s="46" t="n"/>
      <c r="F123" s="46" t="n"/>
      <c r="G123" s="45" t="n"/>
      <c r="I123" s="44" t="n"/>
      <c r="J123" s="46" t="n"/>
      <c r="K123" s="46" t="n"/>
      <c r="L123" s="46" t="n"/>
      <c r="M123" s="46" t="n"/>
      <c r="N123" s="46" t="n"/>
      <c r="O123" s="46" t="n"/>
      <c r="P123" s="47" t="n"/>
      <c r="Q123" s="47" t="n"/>
      <c r="R123" s="48" t="n"/>
    </row>
    <row r="124" ht="14.25" customHeight="1" s="96">
      <c r="B124" s="44" t="n"/>
      <c r="C124" s="78" t="n"/>
      <c r="D124" s="46" t="n"/>
      <c r="E124" s="46" t="n"/>
      <c r="F124" s="46" t="n"/>
      <c r="G124" s="45" t="n"/>
      <c r="I124" s="44" t="n"/>
      <c r="J124" s="46" t="n"/>
      <c r="K124" s="46" t="n"/>
      <c r="L124" s="46" t="n"/>
      <c r="M124" s="46" t="n"/>
      <c r="N124" s="46" t="n"/>
      <c r="O124" s="46" t="n"/>
      <c r="P124" s="47" t="n"/>
      <c r="Q124" s="47" t="n"/>
      <c r="R124" s="48" t="n"/>
    </row>
    <row r="125" ht="14.25" customHeight="1" s="96">
      <c r="B125" s="44" t="n"/>
      <c r="C125" s="78" t="n"/>
      <c r="D125" s="46" t="n"/>
      <c r="E125" s="46" t="n"/>
      <c r="F125" s="46" t="n"/>
      <c r="G125" s="45" t="n"/>
      <c r="I125" s="44" t="n"/>
      <c r="J125" s="46" t="n"/>
      <c r="K125" s="46" t="n"/>
      <c r="L125" s="46" t="n"/>
      <c r="M125" s="46" t="n"/>
      <c r="N125" s="46" t="n"/>
      <c r="O125" s="46" t="n"/>
      <c r="P125" s="47" t="n"/>
      <c r="Q125" s="47" t="n"/>
      <c r="R125" s="48" t="n"/>
    </row>
    <row r="126" ht="14.25" customHeight="1" s="96">
      <c r="B126" s="44" t="n"/>
      <c r="C126" s="78" t="n"/>
      <c r="D126" s="46" t="n"/>
      <c r="E126" s="46" t="n"/>
      <c r="F126" s="46" t="n"/>
      <c r="G126" s="45" t="n"/>
      <c r="I126" s="44" t="n"/>
      <c r="J126" s="46" t="n"/>
      <c r="K126" s="46" t="n"/>
      <c r="L126" s="46" t="n"/>
      <c r="M126" s="46" t="n"/>
      <c r="N126" s="46" t="n"/>
      <c r="O126" s="46" t="n"/>
      <c r="P126" s="47" t="n"/>
      <c r="Q126" s="47" t="n"/>
      <c r="R126" s="48" t="n"/>
    </row>
    <row r="127" ht="14.25" customHeight="1" s="96">
      <c r="B127" s="44" t="n"/>
      <c r="C127" s="78" t="n"/>
      <c r="D127" s="46" t="n"/>
      <c r="E127" s="46" t="n"/>
      <c r="F127" s="46" t="n"/>
      <c r="G127" s="45" t="n"/>
      <c r="I127" s="44" t="n"/>
      <c r="J127" s="46" t="n"/>
      <c r="K127" s="46" t="n"/>
      <c r="L127" s="46" t="n"/>
      <c r="M127" s="46" t="n"/>
      <c r="N127" s="46" t="n"/>
      <c r="O127" s="46" t="n"/>
      <c r="P127" s="47" t="n"/>
      <c r="Q127" s="47" t="n"/>
      <c r="R127" s="48" t="n"/>
    </row>
    <row r="128" ht="14.25" customHeight="1" s="96">
      <c r="B128" s="44" t="n"/>
      <c r="C128" s="78" t="n"/>
      <c r="D128" s="46" t="n"/>
      <c r="E128" s="46" t="n"/>
      <c r="F128" s="46" t="n"/>
      <c r="G128" s="45" t="n"/>
      <c r="I128" s="44" t="n"/>
      <c r="J128" s="46" t="n"/>
      <c r="K128" s="46" t="n"/>
      <c r="L128" s="46" t="n"/>
      <c r="M128" s="46" t="n"/>
      <c r="N128" s="46" t="n"/>
      <c r="O128" s="46" t="n"/>
      <c r="P128" s="47" t="n"/>
      <c r="Q128" s="47" t="n"/>
      <c r="R128" s="48" t="n"/>
    </row>
    <row r="129" ht="14.25" customHeight="1" s="96">
      <c r="B129" s="44" t="n"/>
      <c r="C129" s="78" t="n"/>
      <c r="D129" s="46" t="n"/>
      <c r="E129" s="46" t="n"/>
      <c r="F129" s="46" t="n"/>
      <c r="G129" s="45" t="n"/>
      <c r="I129" s="44" t="n"/>
      <c r="J129" s="46" t="n"/>
      <c r="K129" s="46" t="n"/>
      <c r="L129" s="46" t="n"/>
      <c r="M129" s="46" t="n"/>
      <c r="N129" s="46" t="n"/>
      <c r="O129" s="46" t="n"/>
      <c r="P129" s="47" t="n"/>
      <c r="Q129" s="47" t="n"/>
      <c r="R129" s="48" t="n"/>
    </row>
    <row r="130" ht="14.25" customHeight="1" s="96">
      <c r="B130" s="44" t="n"/>
      <c r="C130" s="78" t="n"/>
      <c r="D130" s="46" t="n"/>
      <c r="E130" s="46" t="n"/>
      <c r="F130" s="46" t="n"/>
      <c r="G130" s="45" t="n"/>
      <c r="I130" s="44" t="n"/>
      <c r="J130" s="46" t="n"/>
      <c r="K130" s="46" t="n"/>
      <c r="L130" s="46" t="n"/>
      <c r="M130" s="46" t="n"/>
      <c r="N130" s="46" t="n"/>
      <c r="O130" s="46" t="n"/>
      <c r="P130" s="47" t="n"/>
      <c r="Q130" s="47" t="n"/>
      <c r="R130" s="48" t="n"/>
    </row>
    <row r="131" ht="14.25" customHeight="1" s="96">
      <c r="B131" s="44" t="n"/>
      <c r="C131" s="78" t="n"/>
      <c r="D131" s="46" t="n"/>
      <c r="E131" s="46" t="n"/>
      <c r="F131" s="46" t="n"/>
      <c r="G131" s="45" t="n"/>
      <c r="I131" s="44" t="n"/>
      <c r="J131" s="46" t="n"/>
      <c r="K131" s="46" t="n"/>
      <c r="L131" s="46" t="n"/>
      <c r="M131" s="46" t="n"/>
      <c r="N131" s="46" t="n"/>
      <c r="O131" s="46" t="n"/>
      <c r="P131" s="47" t="n"/>
      <c r="Q131" s="47" t="n"/>
      <c r="R131" s="48" t="n"/>
    </row>
    <row r="132" ht="14.25" customHeight="1" s="96">
      <c r="B132" s="44" t="n"/>
      <c r="C132" s="78" t="n"/>
      <c r="D132" s="46" t="n"/>
      <c r="E132" s="46" t="n"/>
      <c r="F132" s="46" t="n"/>
      <c r="G132" s="45" t="n"/>
      <c r="I132" s="44" t="n"/>
      <c r="J132" s="46" t="n"/>
      <c r="K132" s="46" t="n"/>
      <c r="L132" s="46" t="n"/>
      <c r="M132" s="46" t="n"/>
      <c r="N132" s="46" t="n"/>
      <c r="O132" s="46" t="n"/>
      <c r="P132" s="47" t="n"/>
      <c r="Q132" s="47" t="n"/>
      <c r="R132" s="48" t="n"/>
    </row>
    <row r="133" ht="14.25" customHeight="1" s="96">
      <c r="B133" s="44" t="n"/>
      <c r="C133" s="78" t="n"/>
      <c r="D133" s="46" t="n"/>
      <c r="E133" s="46" t="n"/>
      <c r="F133" s="46" t="n"/>
      <c r="G133" s="45" t="n"/>
      <c r="I133" s="44" t="n"/>
      <c r="J133" s="46" t="n"/>
      <c r="K133" s="46" t="n"/>
      <c r="L133" s="46" t="n"/>
      <c r="M133" s="46" t="n"/>
      <c r="N133" s="46" t="n"/>
      <c r="O133" s="46" t="n"/>
      <c r="P133" s="47" t="n"/>
      <c r="Q133" s="47" t="n"/>
      <c r="R133" s="48" t="n"/>
    </row>
    <row r="134" ht="14.25" customHeight="1" s="96">
      <c r="B134" s="44" t="n"/>
      <c r="C134" s="78" t="n"/>
      <c r="D134" s="46" t="n"/>
      <c r="E134" s="46" t="n"/>
      <c r="F134" s="46" t="n"/>
      <c r="G134" s="45" t="n"/>
      <c r="I134" s="44" t="n"/>
      <c r="J134" s="46" t="n"/>
      <c r="K134" s="46" t="n"/>
      <c r="L134" s="46" t="n"/>
      <c r="M134" s="46" t="n"/>
      <c r="N134" s="46" t="n"/>
      <c r="O134" s="46" t="n"/>
      <c r="P134" s="47" t="n"/>
      <c r="Q134" s="47" t="n"/>
      <c r="R134" s="48" t="n"/>
    </row>
    <row r="135" ht="14.25" customHeight="1" s="96">
      <c r="B135" s="44" t="n"/>
      <c r="C135" s="78" t="n"/>
      <c r="D135" s="46" t="n"/>
      <c r="E135" s="46" t="n"/>
      <c r="F135" s="46" t="n"/>
      <c r="G135" s="45" t="n"/>
      <c r="I135" s="44" t="n"/>
      <c r="J135" s="46" t="n"/>
      <c r="K135" s="46" t="n"/>
      <c r="L135" s="46" t="n"/>
      <c r="M135" s="46" t="n"/>
      <c r="N135" s="46" t="n"/>
      <c r="O135" s="46" t="n"/>
      <c r="P135" s="47" t="n"/>
      <c r="Q135" s="47" t="n"/>
      <c r="R135" s="48" t="n"/>
    </row>
    <row r="136" ht="14.25" customHeight="1" s="96">
      <c r="B136" s="44" t="n"/>
      <c r="C136" s="78" t="n"/>
      <c r="D136" s="46" t="n"/>
      <c r="E136" s="46" t="n"/>
      <c r="F136" s="46" t="n"/>
      <c r="G136" s="45" t="n"/>
      <c r="I136" s="44" t="n"/>
      <c r="J136" s="46" t="n"/>
      <c r="K136" s="46" t="n"/>
      <c r="L136" s="46" t="n"/>
      <c r="M136" s="46" t="n"/>
      <c r="N136" s="46" t="n"/>
      <c r="O136" s="46" t="n"/>
      <c r="P136" s="47" t="n"/>
      <c r="Q136" s="47" t="n"/>
      <c r="R136" s="48" t="n"/>
    </row>
    <row r="137" ht="14.25" customHeight="1" s="96">
      <c r="B137" s="44" t="n"/>
      <c r="C137" s="78" t="n"/>
      <c r="D137" s="46" t="n"/>
      <c r="E137" s="46" t="n"/>
      <c r="F137" s="46" t="n"/>
      <c r="G137" s="45" t="n"/>
      <c r="I137" s="44" t="n"/>
      <c r="J137" s="46" t="n"/>
      <c r="K137" s="46" t="n"/>
      <c r="L137" s="46" t="n"/>
      <c r="M137" s="46" t="n"/>
      <c r="N137" s="46" t="n"/>
      <c r="O137" s="46" t="n"/>
      <c r="P137" s="47" t="n"/>
      <c r="Q137" s="47" t="n"/>
      <c r="R137" s="48" t="n"/>
    </row>
    <row r="138" ht="14.25" customHeight="1" s="96">
      <c r="B138" s="44" t="n"/>
      <c r="C138" s="78" t="n"/>
      <c r="D138" s="46" t="n"/>
      <c r="E138" s="46" t="n"/>
      <c r="F138" s="46" t="n"/>
      <c r="G138" s="45" t="n"/>
      <c r="I138" s="44" t="n"/>
      <c r="J138" s="46" t="n"/>
      <c r="K138" s="46" t="n"/>
      <c r="L138" s="46" t="n"/>
      <c r="M138" s="46" t="n"/>
      <c r="N138" s="46" t="n"/>
      <c r="O138" s="46" t="n"/>
      <c r="P138" s="47" t="n"/>
      <c r="Q138" s="47" t="n"/>
      <c r="R138" s="48" t="n"/>
    </row>
    <row r="139" ht="14.25" customHeight="1" s="96">
      <c r="B139" s="44" t="n"/>
      <c r="C139" s="78" t="n"/>
      <c r="D139" s="46" t="n"/>
      <c r="E139" s="46" t="n"/>
      <c r="F139" s="46" t="n"/>
      <c r="G139" s="45" t="n"/>
      <c r="I139" s="44" t="n"/>
      <c r="J139" s="46" t="n"/>
      <c r="K139" s="46" t="n"/>
      <c r="L139" s="46" t="n"/>
      <c r="M139" s="46" t="n"/>
      <c r="N139" s="46" t="n"/>
      <c r="O139" s="46" t="n"/>
      <c r="P139" s="47" t="n"/>
      <c r="Q139" s="47" t="n"/>
      <c r="R139" s="48" t="n"/>
    </row>
    <row r="140" ht="14.25" customHeight="1" s="96">
      <c r="B140" s="44" t="n"/>
      <c r="C140" s="78" t="n"/>
      <c r="D140" s="46" t="n"/>
      <c r="E140" s="46" t="n"/>
      <c r="F140" s="46" t="n"/>
      <c r="G140" s="45" t="n"/>
      <c r="I140" s="44" t="n"/>
      <c r="J140" s="46" t="n"/>
      <c r="K140" s="46" t="n"/>
      <c r="L140" s="46" t="n"/>
      <c r="M140" s="46" t="n"/>
      <c r="N140" s="46" t="n"/>
      <c r="O140" s="46" t="n"/>
      <c r="P140" s="47" t="n"/>
      <c r="Q140" s="47" t="n"/>
      <c r="R140" s="48" t="n"/>
    </row>
    <row r="141" ht="14.25" customHeight="1" s="96">
      <c r="B141" s="44" t="n"/>
      <c r="C141" s="78" t="n"/>
      <c r="D141" s="46" t="n"/>
      <c r="E141" s="46" t="n"/>
      <c r="F141" s="46" t="n"/>
      <c r="G141" s="45" t="n"/>
      <c r="I141" s="44" t="n"/>
      <c r="J141" s="46" t="n"/>
      <c r="K141" s="46" t="n"/>
      <c r="L141" s="46" t="n"/>
      <c r="M141" s="46" t="n"/>
      <c r="N141" s="46" t="n"/>
      <c r="O141" s="46" t="n"/>
      <c r="P141" s="47" t="n"/>
      <c r="Q141" s="47" t="n"/>
      <c r="R141" s="48" t="n"/>
    </row>
    <row r="142" ht="14.25" customHeight="1" s="96">
      <c r="B142" s="44" t="n"/>
      <c r="C142" s="78" t="n"/>
      <c r="D142" s="46" t="n"/>
      <c r="E142" s="46" t="n"/>
      <c r="F142" s="46" t="n"/>
      <c r="G142" s="45" t="n"/>
      <c r="I142" s="44" t="n"/>
      <c r="J142" s="46" t="n"/>
      <c r="K142" s="46" t="n"/>
      <c r="L142" s="46" t="n"/>
      <c r="M142" s="46" t="n"/>
      <c r="N142" s="46" t="n"/>
      <c r="O142" s="46" t="n"/>
      <c r="P142" s="47" t="n"/>
      <c r="Q142" s="47" t="n"/>
      <c r="R142" s="48" t="n"/>
    </row>
    <row r="143" ht="14.25" customHeight="1" s="96">
      <c r="B143" s="44" t="n"/>
      <c r="C143" s="78" t="n"/>
      <c r="D143" s="46" t="n"/>
      <c r="E143" s="46" t="n"/>
      <c r="F143" s="46" t="n"/>
      <c r="G143" s="45" t="n"/>
      <c r="I143" s="44" t="n"/>
      <c r="J143" s="46" t="n"/>
      <c r="K143" s="46" t="n"/>
      <c r="L143" s="46" t="n"/>
      <c r="M143" s="46" t="n"/>
      <c r="N143" s="46" t="n"/>
      <c r="O143" s="46" t="n"/>
      <c r="P143" s="47" t="n"/>
      <c r="Q143" s="47" t="n"/>
      <c r="R143" s="48" t="n"/>
    </row>
    <row r="144" ht="14.25" customHeight="1" s="96">
      <c r="B144" s="44" t="n"/>
      <c r="C144" s="78" t="n"/>
      <c r="D144" s="46" t="n"/>
      <c r="E144" s="46" t="n"/>
      <c r="F144" s="46" t="n"/>
      <c r="G144" s="45" t="n"/>
      <c r="I144" s="44" t="n"/>
      <c r="J144" s="46" t="n"/>
      <c r="K144" s="46" t="n"/>
      <c r="L144" s="46" t="n"/>
      <c r="M144" s="46" t="n"/>
      <c r="N144" s="46" t="n"/>
      <c r="O144" s="46" t="n"/>
      <c r="P144" s="47" t="n"/>
      <c r="Q144" s="47" t="n"/>
      <c r="R144" s="48" t="n"/>
    </row>
    <row r="145" ht="14.25" customHeight="1" s="96">
      <c r="B145" s="44" t="n"/>
      <c r="C145" s="78" t="n"/>
      <c r="D145" s="46" t="n"/>
      <c r="E145" s="46" t="n"/>
      <c r="F145" s="46" t="n"/>
      <c r="G145" s="45" t="n"/>
      <c r="I145" s="44" t="n"/>
      <c r="J145" s="46" t="n"/>
      <c r="K145" s="46" t="n"/>
      <c r="L145" s="46" t="n"/>
      <c r="M145" s="46" t="n"/>
      <c r="N145" s="46" t="n"/>
      <c r="O145" s="46" t="n"/>
      <c r="P145" s="47" t="n"/>
      <c r="Q145" s="47" t="n"/>
      <c r="R145" s="48" t="n"/>
    </row>
    <row r="146" ht="14.25" customHeight="1" s="96">
      <c r="B146" s="87" t="n"/>
      <c r="C146" s="88" t="n"/>
      <c r="D146" s="89" t="n"/>
      <c r="E146" s="89" t="n"/>
      <c r="F146" s="89" t="n"/>
      <c r="G146" s="90" t="n"/>
      <c r="I146" s="87" t="n"/>
      <c r="J146" s="89" t="n"/>
      <c r="K146" s="89" t="n"/>
      <c r="L146" s="89" t="n"/>
      <c r="M146" s="89" t="n"/>
      <c r="N146" s="89" t="n"/>
      <c r="O146" s="89" t="n"/>
      <c r="P146" s="91" t="n"/>
      <c r="Q146" s="91" t="n"/>
      <c r="R146" s="92" t="n"/>
    </row>
    <row r="147" ht="14.25" customHeight="1" s="96">
      <c r="A147" s="121" t="n"/>
      <c r="B147" s="60" t="n"/>
      <c r="C147" s="76" t="n"/>
      <c r="D147" s="61" t="n"/>
      <c r="E147" s="61" t="n"/>
      <c r="F147" s="61" t="n"/>
      <c r="G147" s="77" t="n"/>
      <c r="I147" s="60" t="n"/>
      <c r="J147" s="61" t="n"/>
      <c r="K147" s="61" t="n"/>
      <c r="L147" s="61" t="n"/>
      <c r="M147" s="61" t="n"/>
      <c r="N147" s="61" t="n"/>
      <c r="O147" s="61" t="n"/>
      <c r="P147" s="62" t="n"/>
      <c r="Q147" s="62" t="n"/>
      <c r="R147" s="63" t="n"/>
    </row>
    <row r="148" ht="14.25" customHeight="1" s="96">
      <c r="B148" s="66" t="n"/>
      <c r="C148" s="79" t="n"/>
      <c r="D148" s="67" t="n"/>
      <c r="E148" s="67" t="n"/>
      <c r="F148" s="67" t="n"/>
      <c r="G148" s="80" t="n"/>
      <c r="I148" s="66" t="n"/>
      <c r="J148" s="67" t="n"/>
      <c r="K148" s="67" t="n"/>
      <c r="L148" s="67" t="n"/>
      <c r="M148" s="67" t="n"/>
      <c r="N148" s="67" t="n"/>
      <c r="O148" s="67" t="n"/>
      <c r="P148" s="68" t="n"/>
      <c r="Q148" s="68" t="n"/>
      <c r="R148" s="69" t="n"/>
    </row>
    <row r="149" ht="14.25" customHeight="1" s="96">
      <c r="B149" s="66" t="n"/>
      <c r="C149" s="79" t="n"/>
      <c r="D149" s="67" t="n"/>
      <c r="E149" s="67" t="n"/>
      <c r="F149" s="67" t="n"/>
      <c r="G149" s="80" t="n"/>
      <c r="I149" s="66" t="n"/>
      <c r="J149" s="67" t="n"/>
      <c r="K149" s="67" t="n"/>
      <c r="L149" s="67" t="n"/>
      <c r="M149" s="67" t="n"/>
      <c r="N149" s="67" t="n"/>
      <c r="O149" s="67" t="n"/>
      <c r="P149" s="68" t="n"/>
      <c r="Q149" s="68" t="n"/>
      <c r="R149" s="69" t="n"/>
    </row>
    <row r="150" ht="14.25" customHeight="1" s="96">
      <c r="B150" s="66" t="n"/>
      <c r="C150" s="79" t="n"/>
      <c r="D150" s="67" t="n"/>
      <c r="E150" s="67" t="n"/>
      <c r="F150" s="67" t="n"/>
      <c r="G150" s="80" t="n"/>
      <c r="I150" s="66" t="n"/>
      <c r="J150" s="67" t="n"/>
      <c r="K150" s="67" t="n"/>
      <c r="L150" s="67" t="n"/>
      <c r="M150" s="67" t="n"/>
      <c r="N150" s="67" t="n"/>
      <c r="O150" s="67" t="n"/>
      <c r="P150" s="68" t="n"/>
      <c r="Q150" s="68" t="n"/>
      <c r="R150" s="69" t="n"/>
    </row>
    <row r="151" ht="14.25" customHeight="1" s="96">
      <c r="B151" s="66" t="n"/>
      <c r="C151" s="79" t="n"/>
      <c r="D151" s="67" t="n"/>
      <c r="E151" s="67" t="n"/>
      <c r="F151" s="67" t="n"/>
      <c r="G151" s="80" t="n"/>
      <c r="I151" s="66" t="n"/>
      <c r="J151" s="67" t="n"/>
      <c r="K151" s="67" t="n"/>
      <c r="L151" s="67" t="n"/>
      <c r="M151" s="67" t="n"/>
      <c r="N151" s="67" t="n"/>
      <c r="O151" s="67" t="n"/>
      <c r="P151" s="68" t="n"/>
      <c r="Q151" s="68" t="n"/>
      <c r="R151" s="69" t="n"/>
    </row>
    <row r="152" ht="14.25" customHeight="1" s="96">
      <c r="B152" s="66" t="n"/>
      <c r="C152" s="79" t="n"/>
      <c r="D152" s="67" t="n"/>
      <c r="E152" s="67" t="n"/>
      <c r="F152" s="67" t="n"/>
      <c r="G152" s="80" t="n"/>
      <c r="I152" s="66" t="n"/>
      <c r="J152" s="67" t="n"/>
      <c r="K152" s="67" t="n"/>
      <c r="L152" s="67" t="n"/>
      <c r="M152" s="67" t="n"/>
      <c r="N152" s="67" t="n"/>
      <c r="O152" s="67" t="n"/>
      <c r="P152" s="68" t="n"/>
      <c r="Q152" s="68" t="n"/>
      <c r="R152" s="69" t="n"/>
    </row>
    <row r="153" ht="14.25" customHeight="1" s="96">
      <c r="B153" s="66" t="n"/>
      <c r="C153" s="79" t="n"/>
      <c r="D153" s="67" t="n"/>
      <c r="E153" s="67" t="n"/>
      <c r="F153" s="67" t="n"/>
      <c r="G153" s="80" t="n"/>
      <c r="I153" s="66" t="n"/>
      <c r="J153" s="67" t="n"/>
      <c r="K153" s="67" t="n"/>
      <c r="L153" s="67" t="n"/>
      <c r="M153" s="67" t="n"/>
      <c r="N153" s="67" t="n"/>
      <c r="O153" s="67" t="n"/>
      <c r="P153" s="68" t="n"/>
      <c r="Q153" s="68" t="n"/>
      <c r="R153" s="69" t="n"/>
    </row>
    <row r="154" ht="14.25" customHeight="1" s="96">
      <c r="B154" s="66" t="n"/>
      <c r="C154" s="79" t="n"/>
      <c r="D154" s="67" t="n"/>
      <c r="E154" s="67" t="n"/>
      <c r="F154" s="67" t="n"/>
      <c r="G154" s="80" t="n"/>
      <c r="I154" s="66" t="n"/>
      <c r="J154" s="67" t="n"/>
      <c r="K154" s="67" t="n"/>
      <c r="L154" s="67" t="n"/>
      <c r="M154" s="67" t="n"/>
      <c r="N154" s="67" t="n"/>
      <c r="O154" s="67" t="n"/>
      <c r="P154" s="68" t="n"/>
      <c r="Q154" s="68" t="n"/>
      <c r="R154" s="69" t="n"/>
    </row>
    <row r="155" ht="14.25" customHeight="1" s="96">
      <c r="B155" s="66" t="n"/>
      <c r="C155" s="79" t="n"/>
      <c r="D155" s="67" t="n"/>
      <c r="E155" s="67" t="n"/>
      <c r="F155" s="67" t="n"/>
      <c r="G155" s="80" t="n"/>
      <c r="I155" s="66" t="n"/>
      <c r="J155" s="67" t="n"/>
      <c r="K155" s="67" t="n"/>
      <c r="L155" s="67" t="n"/>
      <c r="M155" s="67" t="n"/>
      <c r="N155" s="67" t="n"/>
      <c r="O155" s="67" t="n"/>
      <c r="P155" s="68" t="n"/>
      <c r="Q155" s="68" t="n"/>
      <c r="R155" s="69" t="n"/>
    </row>
    <row r="156" ht="14.25" customHeight="1" s="96">
      <c r="B156" s="66" t="n"/>
      <c r="C156" s="79" t="n"/>
      <c r="D156" s="67" t="n"/>
      <c r="E156" s="67" t="n"/>
      <c r="F156" s="67" t="n"/>
      <c r="G156" s="80" t="n"/>
      <c r="I156" s="66" t="n"/>
      <c r="J156" s="67" t="n"/>
      <c r="K156" s="67" t="n"/>
      <c r="L156" s="67" t="n"/>
      <c r="M156" s="67" t="n"/>
      <c r="N156" s="67" t="n"/>
      <c r="O156" s="67" t="n"/>
      <c r="P156" s="68" t="n"/>
      <c r="Q156" s="68" t="n"/>
      <c r="R156" s="69" t="n"/>
    </row>
    <row r="157" ht="14.25" customHeight="1" s="96">
      <c r="B157" s="66" t="n"/>
      <c r="C157" s="79" t="n"/>
      <c r="D157" s="67" t="n"/>
      <c r="E157" s="67" t="n"/>
      <c r="F157" s="67" t="n"/>
      <c r="G157" s="80" t="n"/>
      <c r="I157" s="66" t="n"/>
      <c r="J157" s="67" t="n"/>
      <c r="K157" s="67" t="n"/>
      <c r="L157" s="67" t="n"/>
      <c r="M157" s="67" t="n"/>
      <c r="N157" s="67" t="n"/>
      <c r="O157" s="67" t="n"/>
      <c r="P157" s="68" t="n"/>
      <c r="Q157" s="68" t="n"/>
      <c r="R157" s="69" t="n"/>
    </row>
    <row r="158" ht="14.25" customHeight="1" s="96">
      <c r="B158" s="66" t="n"/>
      <c r="C158" s="79" t="n"/>
      <c r="D158" s="67" t="n"/>
      <c r="E158" s="67" t="n"/>
      <c r="F158" s="67" t="n"/>
      <c r="G158" s="80" t="n"/>
      <c r="I158" s="66" t="n"/>
      <c r="J158" s="67" t="n"/>
      <c r="K158" s="67" t="n"/>
      <c r="L158" s="67" t="n"/>
      <c r="M158" s="67" t="n"/>
      <c r="N158" s="67" t="n"/>
      <c r="O158" s="67" t="n"/>
      <c r="P158" s="68" t="n"/>
      <c r="Q158" s="68" t="n"/>
      <c r="R158" s="69" t="n"/>
    </row>
    <row r="159" ht="14.25" customHeight="1" s="96">
      <c r="B159" s="66" t="n"/>
      <c r="C159" s="79" t="n"/>
      <c r="D159" s="67" t="n"/>
      <c r="E159" s="67" t="n"/>
      <c r="F159" s="67" t="n"/>
      <c r="G159" s="80" t="n"/>
      <c r="I159" s="66" t="n"/>
      <c r="J159" s="67" t="n"/>
      <c r="K159" s="67" t="n"/>
      <c r="L159" s="67" t="n"/>
      <c r="M159" s="67" t="n"/>
      <c r="N159" s="67" t="n"/>
      <c r="O159" s="67" t="n"/>
      <c r="P159" s="68" t="n"/>
      <c r="Q159" s="68" t="n"/>
      <c r="R159" s="69" t="n"/>
    </row>
    <row r="160" ht="14.25" customHeight="1" s="96">
      <c r="B160" s="66" t="n"/>
      <c r="C160" s="79" t="n"/>
      <c r="D160" s="67" t="n"/>
      <c r="E160" s="67" t="n"/>
      <c r="F160" s="67" t="n"/>
      <c r="G160" s="80" t="n"/>
      <c r="I160" s="66" t="n"/>
      <c r="J160" s="67" t="n"/>
      <c r="K160" s="67" t="n"/>
      <c r="L160" s="67" t="n"/>
      <c r="M160" s="67" t="n"/>
      <c r="N160" s="67" t="n"/>
      <c r="O160" s="67" t="n"/>
      <c r="P160" s="68" t="n"/>
      <c r="Q160" s="68" t="n"/>
      <c r="R160" s="69" t="n"/>
    </row>
    <row r="161" ht="14.25" customHeight="1" s="96">
      <c r="B161" s="66" t="n"/>
      <c r="C161" s="79" t="n"/>
      <c r="D161" s="67" t="n"/>
      <c r="E161" s="67" t="n"/>
      <c r="F161" s="67" t="n"/>
      <c r="G161" s="80" t="n"/>
      <c r="I161" s="66" t="n"/>
      <c r="J161" s="67" t="n"/>
      <c r="K161" s="67" t="n"/>
      <c r="L161" s="67" t="n"/>
      <c r="M161" s="67" t="n"/>
      <c r="N161" s="67" t="n"/>
      <c r="O161" s="67" t="n"/>
      <c r="P161" s="68" t="n"/>
      <c r="Q161" s="68" t="n"/>
      <c r="R161" s="69" t="n"/>
    </row>
    <row r="162" ht="14.25" customHeight="1" s="96">
      <c r="B162" s="66" t="n"/>
      <c r="C162" s="79" t="n"/>
      <c r="D162" s="67" t="n"/>
      <c r="E162" s="67" t="n"/>
      <c r="F162" s="67" t="n"/>
      <c r="G162" s="80" t="n"/>
      <c r="I162" s="66" t="n"/>
      <c r="J162" s="67" t="n"/>
      <c r="K162" s="67" t="n"/>
      <c r="L162" s="67" t="n"/>
      <c r="M162" s="67" t="n"/>
      <c r="N162" s="67" t="n"/>
      <c r="O162" s="67" t="n"/>
      <c r="P162" s="68" t="n"/>
      <c r="Q162" s="68" t="n"/>
      <c r="R162" s="69" t="n"/>
    </row>
    <row r="163" ht="14.25" customHeight="1" s="96">
      <c r="B163" s="66" t="n"/>
      <c r="C163" s="79" t="n"/>
      <c r="D163" s="67" t="n"/>
      <c r="E163" s="67" t="n"/>
      <c r="F163" s="67" t="n"/>
      <c r="G163" s="80" t="n"/>
      <c r="I163" s="66" t="n"/>
      <c r="J163" s="67" t="n"/>
      <c r="K163" s="67" t="n"/>
      <c r="L163" s="67" t="n"/>
      <c r="M163" s="67" t="n"/>
      <c r="N163" s="67" t="n"/>
      <c r="O163" s="67" t="n"/>
      <c r="P163" s="68" t="n"/>
      <c r="Q163" s="68" t="n"/>
      <c r="R163" s="69" t="n"/>
    </row>
    <row r="164" ht="14.25" customHeight="1" s="96">
      <c r="B164" s="66" t="n"/>
      <c r="C164" s="79" t="n"/>
      <c r="D164" s="67" t="n"/>
      <c r="E164" s="67" t="n"/>
      <c r="F164" s="67" t="n"/>
      <c r="G164" s="80" t="n"/>
      <c r="I164" s="66" t="n"/>
      <c r="J164" s="67" t="n"/>
      <c r="K164" s="67" t="n"/>
      <c r="L164" s="67" t="n"/>
      <c r="M164" s="67" t="n"/>
      <c r="N164" s="67" t="n"/>
      <c r="O164" s="67" t="n"/>
      <c r="P164" s="68" t="n"/>
      <c r="Q164" s="68" t="n"/>
      <c r="R164" s="69" t="n"/>
    </row>
    <row r="165" ht="14.25" customHeight="1" s="96">
      <c r="B165" s="66" t="n"/>
      <c r="C165" s="79" t="n"/>
      <c r="D165" s="67" t="n"/>
      <c r="E165" s="67" t="n"/>
      <c r="F165" s="67" t="n"/>
      <c r="G165" s="80" t="n"/>
      <c r="I165" s="66" t="n"/>
      <c r="J165" s="67" t="n"/>
      <c r="K165" s="67" t="n"/>
      <c r="L165" s="67" t="n"/>
      <c r="M165" s="67" t="n"/>
      <c r="N165" s="67" t="n"/>
      <c r="O165" s="67" t="n"/>
      <c r="P165" s="68" t="n"/>
      <c r="Q165" s="68" t="n"/>
      <c r="R165" s="69" t="n"/>
    </row>
    <row r="166" ht="14.25" customHeight="1" s="96">
      <c r="B166" s="66" t="n"/>
      <c r="C166" s="79" t="n"/>
      <c r="D166" s="67" t="n"/>
      <c r="E166" s="67" t="n"/>
      <c r="F166" s="67" t="n"/>
      <c r="G166" s="80" t="n"/>
      <c r="I166" s="66" t="n"/>
      <c r="J166" s="67" t="n"/>
      <c r="K166" s="67" t="n"/>
      <c r="L166" s="67" t="n"/>
      <c r="M166" s="67" t="n"/>
      <c r="N166" s="67" t="n"/>
      <c r="O166" s="67" t="n"/>
      <c r="P166" s="68" t="n"/>
      <c r="Q166" s="68" t="n"/>
      <c r="R166" s="69" t="n"/>
    </row>
    <row r="167" ht="14.25" customHeight="1" s="96">
      <c r="B167" s="66" t="n"/>
      <c r="C167" s="79" t="n"/>
      <c r="D167" s="67" t="n"/>
      <c r="E167" s="67" t="n"/>
      <c r="F167" s="67" t="n"/>
      <c r="G167" s="80" t="n"/>
      <c r="I167" s="66" t="n"/>
      <c r="J167" s="67" t="n"/>
      <c r="K167" s="67" t="n"/>
      <c r="L167" s="67" t="n"/>
      <c r="M167" s="67" t="n"/>
      <c r="N167" s="67" t="n"/>
      <c r="O167" s="67" t="n"/>
      <c r="P167" s="68" t="n"/>
      <c r="Q167" s="68" t="n"/>
      <c r="R167" s="69" t="n"/>
    </row>
    <row r="168" ht="14.25" customHeight="1" s="96">
      <c r="B168" s="66" t="n"/>
      <c r="C168" s="79" t="n"/>
      <c r="D168" s="67" t="n"/>
      <c r="E168" s="67" t="n"/>
      <c r="F168" s="67" t="n"/>
      <c r="G168" s="80" t="n"/>
      <c r="I168" s="66" t="n"/>
      <c r="J168" s="67" t="n"/>
      <c r="K168" s="67" t="n"/>
      <c r="L168" s="67" t="n"/>
      <c r="M168" s="67" t="n"/>
      <c r="N168" s="67" t="n"/>
      <c r="O168" s="67" t="n"/>
      <c r="P168" s="68" t="n"/>
      <c r="Q168" s="68" t="n"/>
      <c r="R168" s="69" t="n"/>
    </row>
    <row r="169" ht="14.25" customHeight="1" s="96">
      <c r="B169" s="66" t="n"/>
      <c r="C169" s="79" t="n"/>
      <c r="D169" s="67" t="n"/>
      <c r="E169" s="67" t="n"/>
      <c r="F169" s="67" t="n"/>
      <c r="G169" s="80" t="n"/>
      <c r="I169" s="66" t="n"/>
      <c r="J169" s="67" t="n"/>
      <c r="K169" s="67" t="n"/>
      <c r="L169" s="67" t="n"/>
      <c r="M169" s="67" t="n"/>
      <c r="N169" s="67" t="n"/>
      <c r="O169" s="67" t="n"/>
      <c r="P169" s="68" t="n"/>
      <c r="Q169" s="68" t="n"/>
      <c r="R169" s="69" t="n"/>
    </row>
    <row r="170" ht="14.25" customHeight="1" s="96">
      <c r="B170" s="66" t="n"/>
      <c r="C170" s="79" t="n"/>
      <c r="D170" s="67" t="n"/>
      <c r="E170" s="67" t="n"/>
      <c r="F170" s="67" t="n"/>
      <c r="G170" s="80" t="n"/>
      <c r="I170" s="66" t="n"/>
      <c r="J170" s="67" t="n"/>
      <c r="K170" s="67" t="n"/>
      <c r="L170" s="67" t="n"/>
      <c r="M170" s="67" t="n"/>
      <c r="N170" s="67" t="n"/>
      <c r="O170" s="67" t="n"/>
      <c r="P170" s="68" t="n"/>
      <c r="Q170" s="68" t="n"/>
      <c r="R170" s="69" t="n"/>
    </row>
    <row r="171" ht="14.25" customHeight="1" s="96">
      <c r="B171" s="66" t="n"/>
      <c r="C171" s="79" t="n"/>
      <c r="D171" s="67" t="n"/>
      <c r="E171" s="67" t="n"/>
      <c r="F171" s="67" t="n"/>
      <c r="G171" s="80" t="n"/>
      <c r="I171" s="66" t="n"/>
      <c r="J171" s="67" t="n"/>
      <c r="K171" s="67" t="n"/>
      <c r="L171" s="67" t="n"/>
      <c r="M171" s="67" t="n"/>
      <c r="N171" s="67" t="n"/>
      <c r="O171" s="67" t="n"/>
      <c r="P171" s="68" t="n"/>
      <c r="Q171" s="68" t="n"/>
      <c r="R171" s="69" t="n"/>
    </row>
    <row r="172" ht="14.25" customHeight="1" s="96">
      <c r="B172" s="66" t="n"/>
      <c r="C172" s="79" t="n"/>
      <c r="D172" s="67" t="n"/>
      <c r="E172" s="67" t="n"/>
      <c r="F172" s="67" t="n"/>
      <c r="G172" s="80" t="n"/>
      <c r="I172" s="66" t="n"/>
      <c r="J172" s="67" t="n"/>
      <c r="K172" s="67" t="n"/>
      <c r="L172" s="67" t="n"/>
      <c r="M172" s="67" t="n"/>
      <c r="N172" s="67" t="n"/>
      <c r="O172" s="67" t="n"/>
      <c r="P172" s="68" t="n"/>
      <c r="Q172" s="68" t="n"/>
      <c r="R172" s="69" t="n"/>
    </row>
    <row r="173" ht="14.25" customHeight="1" s="96">
      <c r="B173" s="66" t="n"/>
      <c r="C173" s="79" t="n"/>
      <c r="D173" s="67" t="n"/>
      <c r="E173" s="67" t="n"/>
      <c r="F173" s="67" t="n"/>
      <c r="G173" s="80" t="n"/>
      <c r="I173" s="66" t="n"/>
      <c r="J173" s="67" t="n"/>
      <c r="K173" s="67" t="n"/>
      <c r="L173" s="67" t="n"/>
      <c r="M173" s="67" t="n"/>
      <c r="N173" s="67" t="n"/>
      <c r="O173" s="67" t="n"/>
      <c r="P173" s="68" t="n"/>
      <c r="Q173" s="68" t="n"/>
      <c r="R173" s="69" t="n"/>
    </row>
    <row r="174" ht="14.25" customHeight="1" s="96">
      <c r="B174" s="66" t="n"/>
      <c r="C174" s="79" t="n"/>
      <c r="D174" s="67" t="n"/>
      <c r="E174" s="67" t="n"/>
      <c r="F174" s="67" t="n"/>
      <c r="G174" s="80" t="n"/>
      <c r="I174" s="66" t="n"/>
      <c r="J174" s="67" t="n"/>
      <c r="K174" s="67" t="n"/>
      <c r="L174" s="67" t="n"/>
      <c r="M174" s="67" t="n"/>
      <c r="N174" s="67" t="n"/>
      <c r="O174" s="67" t="n"/>
      <c r="P174" s="68" t="n"/>
      <c r="Q174" s="68" t="n"/>
      <c r="R174" s="69" t="n"/>
    </row>
    <row r="175" ht="14.25" customHeight="1" s="96">
      <c r="B175" s="66" t="n"/>
      <c r="C175" s="79" t="n"/>
      <c r="D175" s="67" t="n"/>
      <c r="E175" s="67" t="n"/>
      <c r="F175" s="67" t="n"/>
      <c r="G175" s="80" t="n"/>
      <c r="I175" s="66" t="n"/>
      <c r="J175" s="67" t="n"/>
      <c r="K175" s="67" t="n"/>
      <c r="L175" s="67" t="n"/>
      <c r="M175" s="67" t="n"/>
      <c r="N175" s="67" t="n"/>
      <c r="O175" s="67" t="n"/>
      <c r="P175" s="68" t="n"/>
      <c r="Q175" s="68" t="n"/>
      <c r="R175" s="69" t="n"/>
    </row>
    <row r="176" ht="14.25" customHeight="1" s="96">
      <c r="B176" s="66" t="n"/>
      <c r="C176" s="79" t="n"/>
      <c r="D176" s="67" t="n"/>
      <c r="E176" s="67" t="n"/>
      <c r="F176" s="67" t="n"/>
      <c r="G176" s="80" t="n"/>
      <c r="I176" s="66" t="n"/>
      <c r="J176" s="67" t="n"/>
      <c r="K176" s="67" t="n"/>
      <c r="L176" s="67" t="n"/>
      <c r="M176" s="67" t="n"/>
      <c r="N176" s="67" t="n"/>
      <c r="O176" s="67" t="n"/>
      <c r="P176" s="68" t="n"/>
      <c r="Q176" s="68" t="n"/>
      <c r="R176" s="69" t="n"/>
    </row>
    <row r="177" ht="14.25" customHeight="1" s="96">
      <c r="B177" s="66" t="n"/>
      <c r="C177" s="79" t="n"/>
      <c r="D177" s="67" t="n"/>
      <c r="E177" s="67" t="n"/>
      <c r="F177" s="67" t="n"/>
      <c r="G177" s="80" t="n"/>
      <c r="I177" s="66" t="n"/>
      <c r="J177" s="67" t="n"/>
      <c r="K177" s="67" t="n"/>
      <c r="L177" s="67" t="n"/>
      <c r="M177" s="67" t="n"/>
      <c r="N177" s="67" t="n"/>
      <c r="O177" s="67" t="n"/>
      <c r="P177" s="68" t="n"/>
      <c r="Q177" s="68" t="n"/>
      <c r="R177" s="69" t="n"/>
    </row>
    <row r="178" ht="14.25" customHeight="1" s="96">
      <c r="B178" s="66" t="n"/>
      <c r="C178" s="79" t="n"/>
      <c r="D178" s="67" t="n"/>
      <c r="E178" s="67" t="n"/>
      <c r="F178" s="67" t="n"/>
      <c r="G178" s="80" t="n"/>
      <c r="I178" s="66" t="n"/>
      <c r="J178" s="67" t="n"/>
      <c r="K178" s="67" t="n"/>
      <c r="L178" s="67" t="n"/>
      <c r="M178" s="67" t="n"/>
      <c r="N178" s="67" t="n"/>
      <c r="O178" s="67" t="n"/>
      <c r="P178" s="68" t="n"/>
      <c r="Q178" s="68" t="n"/>
      <c r="R178" s="69" t="n"/>
    </row>
    <row r="179" ht="14.25" customHeight="1" s="96">
      <c r="B179" s="66" t="n"/>
      <c r="C179" s="79" t="n"/>
      <c r="D179" s="67" t="n"/>
      <c r="E179" s="67" t="n"/>
      <c r="F179" s="67" t="n"/>
      <c r="G179" s="80" t="n"/>
      <c r="I179" s="66" t="n"/>
      <c r="J179" s="67" t="n"/>
      <c r="K179" s="67" t="n"/>
      <c r="L179" s="67" t="n"/>
      <c r="M179" s="67" t="n"/>
      <c r="N179" s="67" t="n"/>
      <c r="O179" s="67" t="n"/>
      <c r="P179" s="68" t="n"/>
      <c r="Q179" s="68" t="n"/>
      <c r="R179" s="69" t="n"/>
    </row>
    <row r="180" ht="14.25" customHeight="1" s="96">
      <c r="B180" s="66" t="n"/>
      <c r="C180" s="79" t="n"/>
      <c r="D180" s="67" t="n"/>
      <c r="E180" s="67" t="n"/>
      <c r="F180" s="67" t="n"/>
      <c r="G180" s="80" t="n"/>
      <c r="I180" s="66" t="n"/>
      <c r="J180" s="67" t="n"/>
      <c r="K180" s="67" t="n"/>
      <c r="L180" s="67" t="n"/>
      <c r="M180" s="67" t="n"/>
      <c r="N180" s="67" t="n"/>
      <c r="O180" s="67" t="n"/>
      <c r="P180" s="68" t="n"/>
      <c r="Q180" s="68" t="n"/>
      <c r="R180" s="69" t="n"/>
    </row>
    <row r="181" ht="14.25" customHeight="1" s="96">
      <c r="B181" s="66" t="n"/>
      <c r="C181" s="79" t="n"/>
      <c r="D181" s="67" t="n"/>
      <c r="E181" s="67" t="n"/>
      <c r="F181" s="67" t="n"/>
      <c r="G181" s="80" t="n"/>
      <c r="I181" s="66" t="n"/>
      <c r="J181" s="67" t="n"/>
      <c r="K181" s="67" t="n"/>
      <c r="L181" s="67" t="n"/>
      <c r="M181" s="67" t="n"/>
      <c r="N181" s="67" t="n"/>
      <c r="O181" s="67" t="n"/>
      <c r="P181" s="68" t="n"/>
      <c r="Q181" s="68" t="n"/>
      <c r="R181" s="69" t="n"/>
    </row>
    <row r="182" ht="14.25" customHeight="1" s="96">
      <c r="B182" s="66" t="n"/>
      <c r="C182" s="79" t="n"/>
      <c r="D182" s="67" t="n"/>
      <c r="E182" s="67" t="n"/>
      <c r="F182" s="67" t="n"/>
      <c r="G182" s="80" t="n"/>
      <c r="I182" s="66" t="n"/>
      <c r="J182" s="67" t="n"/>
      <c r="K182" s="67" t="n"/>
      <c r="L182" s="67" t="n"/>
      <c r="M182" s="67" t="n"/>
      <c r="N182" s="67" t="n"/>
      <c r="O182" s="67" t="n"/>
      <c r="P182" s="68" t="n"/>
      <c r="Q182" s="68" t="n"/>
      <c r="R182" s="69" t="n"/>
    </row>
    <row r="183" ht="14.25" customHeight="1" s="96">
      <c r="B183" s="66" t="n"/>
      <c r="C183" s="79" t="n"/>
      <c r="D183" s="67" t="n"/>
      <c r="E183" s="67" t="n"/>
      <c r="F183" s="67" t="n"/>
      <c r="G183" s="80" t="n"/>
      <c r="I183" s="66" t="n"/>
      <c r="J183" s="67" t="n"/>
      <c r="K183" s="67" t="n"/>
      <c r="L183" s="67" t="n"/>
      <c r="M183" s="67" t="n"/>
      <c r="N183" s="67" t="n"/>
      <c r="O183" s="67" t="n"/>
      <c r="P183" s="68" t="n"/>
      <c r="Q183" s="68" t="n"/>
      <c r="R183" s="69" t="n"/>
    </row>
    <row r="184" ht="14.25" customHeight="1" s="96">
      <c r="B184" s="66" t="n"/>
      <c r="C184" s="79" t="n"/>
      <c r="D184" s="67" t="n"/>
      <c r="E184" s="67" t="n"/>
      <c r="F184" s="67" t="n"/>
      <c r="G184" s="80" t="n"/>
      <c r="I184" s="66" t="n"/>
      <c r="J184" s="67" t="n"/>
      <c r="K184" s="67" t="n"/>
      <c r="L184" s="67" t="n"/>
      <c r="M184" s="67" t="n"/>
      <c r="N184" s="67" t="n"/>
      <c r="O184" s="67" t="n"/>
      <c r="P184" s="68" t="n"/>
      <c r="Q184" s="68" t="n"/>
      <c r="R184" s="69" t="n"/>
    </row>
    <row r="185" ht="14.25" customHeight="1" s="96">
      <c r="B185" s="66" t="n"/>
      <c r="C185" s="79" t="n"/>
      <c r="D185" s="67" t="n"/>
      <c r="E185" s="67" t="n"/>
      <c r="F185" s="67" t="n"/>
      <c r="G185" s="80" t="n"/>
      <c r="I185" s="66" t="n"/>
      <c r="J185" s="67" t="n"/>
      <c r="K185" s="67" t="n"/>
      <c r="L185" s="67" t="n"/>
      <c r="M185" s="67" t="n"/>
      <c r="N185" s="67" t="n"/>
      <c r="O185" s="67" t="n"/>
      <c r="P185" s="68" t="n"/>
      <c r="Q185" s="68" t="n"/>
      <c r="R185" s="69" t="n"/>
    </row>
    <row r="186" ht="14.25" customHeight="1" s="96">
      <c r="B186" s="66" t="n"/>
      <c r="C186" s="79" t="n"/>
      <c r="D186" s="67" t="n"/>
      <c r="E186" s="67" t="n"/>
      <c r="F186" s="67" t="n"/>
      <c r="G186" s="80" t="n"/>
      <c r="I186" s="66" t="n"/>
      <c r="J186" s="67" t="n"/>
      <c r="K186" s="67" t="n"/>
      <c r="L186" s="67" t="n"/>
      <c r="M186" s="67" t="n"/>
      <c r="N186" s="67" t="n"/>
      <c r="O186" s="67" t="n"/>
      <c r="P186" s="68" t="n"/>
      <c r="Q186" s="68" t="n"/>
      <c r="R186" s="69" t="n"/>
    </row>
    <row r="187" ht="14.25" customHeight="1" s="96">
      <c r="B187" s="66" t="n"/>
      <c r="C187" s="79" t="n"/>
      <c r="D187" s="67" t="n"/>
      <c r="E187" s="67" t="n"/>
      <c r="F187" s="67" t="n"/>
      <c r="G187" s="80" t="n"/>
      <c r="I187" s="66" t="n"/>
      <c r="J187" s="67" t="n"/>
      <c r="K187" s="67" t="n"/>
      <c r="L187" s="67" t="n"/>
      <c r="M187" s="67" t="n"/>
      <c r="N187" s="67" t="n"/>
      <c r="O187" s="67" t="n"/>
      <c r="P187" s="68" t="n"/>
      <c r="Q187" s="68" t="n"/>
      <c r="R187" s="69" t="n"/>
    </row>
    <row r="188" ht="14.25" customHeight="1" s="96">
      <c r="B188" s="66" t="n"/>
      <c r="C188" s="79" t="n"/>
      <c r="D188" s="67" t="n"/>
      <c r="E188" s="67" t="n"/>
      <c r="F188" s="67" t="n"/>
      <c r="G188" s="80" t="n"/>
      <c r="I188" s="66" t="n"/>
      <c r="J188" s="67" t="n"/>
      <c r="K188" s="67" t="n"/>
      <c r="L188" s="67" t="n"/>
      <c r="M188" s="67" t="n"/>
      <c r="N188" s="67" t="n"/>
      <c r="O188" s="67" t="n"/>
      <c r="P188" s="68" t="n"/>
      <c r="Q188" s="68" t="n"/>
      <c r="R188" s="69" t="n"/>
    </row>
    <row r="189" ht="14.25" customHeight="1" s="96">
      <c r="B189" s="66" t="n"/>
      <c r="C189" s="79" t="n"/>
      <c r="D189" s="67" t="n"/>
      <c r="E189" s="67" t="n"/>
      <c r="F189" s="67" t="n"/>
      <c r="G189" s="80" t="n"/>
      <c r="I189" s="66" t="n"/>
      <c r="J189" s="67" t="n"/>
      <c r="K189" s="67" t="n"/>
      <c r="L189" s="67" t="n"/>
      <c r="M189" s="67" t="n"/>
      <c r="N189" s="67" t="n"/>
      <c r="O189" s="67" t="n"/>
      <c r="P189" s="68" t="n"/>
      <c r="Q189" s="68" t="n"/>
      <c r="R189" s="69" t="n"/>
    </row>
    <row r="190" ht="14.25" customHeight="1" s="96">
      <c r="B190" s="66" t="n"/>
      <c r="C190" s="79" t="n"/>
      <c r="D190" s="67" t="n"/>
      <c r="E190" s="67" t="n"/>
      <c r="F190" s="67" t="n"/>
      <c r="G190" s="80" t="n"/>
      <c r="I190" s="66" t="n"/>
      <c r="J190" s="67" t="n"/>
      <c r="K190" s="67" t="n"/>
      <c r="L190" s="67" t="n"/>
      <c r="M190" s="67" t="n"/>
      <c r="N190" s="67" t="n"/>
      <c r="O190" s="67" t="n"/>
      <c r="P190" s="68" t="n"/>
      <c r="Q190" s="68" t="n"/>
      <c r="R190" s="69" t="n"/>
    </row>
    <row r="191" ht="14.25" customHeight="1" s="96">
      <c r="B191" s="66" t="n"/>
      <c r="C191" s="79" t="n"/>
      <c r="D191" s="67" t="n"/>
      <c r="E191" s="67" t="n"/>
      <c r="F191" s="67" t="n"/>
      <c r="G191" s="80" t="n"/>
      <c r="I191" s="66" t="n"/>
      <c r="J191" s="67" t="n"/>
      <c r="K191" s="67" t="n"/>
      <c r="L191" s="67" t="n"/>
      <c r="M191" s="67" t="n"/>
      <c r="N191" s="67" t="n"/>
      <c r="O191" s="67" t="n"/>
      <c r="P191" s="68" t="n"/>
      <c r="Q191" s="68" t="n"/>
      <c r="R191" s="69" t="n"/>
    </row>
    <row r="192" ht="14.25" customHeight="1" s="96">
      <c r="B192" s="66" t="n"/>
      <c r="C192" s="79" t="n"/>
      <c r="D192" s="67" t="n"/>
      <c r="E192" s="67" t="n"/>
      <c r="F192" s="67" t="n"/>
      <c r="G192" s="80" t="n"/>
      <c r="I192" s="66" t="n"/>
      <c r="J192" s="67" t="n"/>
      <c r="K192" s="67" t="n"/>
      <c r="L192" s="67" t="n"/>
      <c r="M192" s="67" t="n"/>
      <c r="N192" s="67" t="n"/>
      <c r="O192" s="67" t="n"/>
      <c r="P192" s="68" t="n"/>
      <c r="Q192" s="68" t="n"/>
      <c r="R192" s="69" t="n"/>
    </row>
    <row r="193" ht="14.25" customHeight="1" s="96">
      <c r="B193" s="66" t="n"/>
      <c r="C193" s="79" t="n"/>
      <c r="D193" s="67" t="n"/>
      <c r="E193" s="67" t="n"/>
      <c r="F193" s="67" t="n"/>
      <c r="G193" s="80" t="n"/>
      <c r="I193" s="66" t="n"/>
      <c r="J193" s="67" t="n"/>
      <c r="K193" s="67" t="n"/>
      <c r="L193" s="67" t="n"/>
      <c r="M193" s="67" t="n"/>
      <c r="N193" s="67" t="n"/>
      <c r="O193" s="67" t="n"/>
      <c r="P193" s="68" t="n"/>
      <c r="Q193" s="68" t="n"/>
      <c r="R193" s="69" t="n"/>
    </row>
    <row r="194" ht="14.25" customHeight="1" s="96">
      <c r="B194" s="66" t="n"/>
      <c r="C194" s="79" t="n"/>
      <c r="D194" s="67" t="n"/>
      <c r="E194" s="67" t="n"/>
      <c r="F194" s="67" t="n"/>
      <c r="G194" s="80" t="n"/>
      <c r="I194" s="66" t="n"/>
      <c r="J194" s="67" t="n"/>
      <c r="K194" s="67" t="n"/>
      <c r="L194" s="67" t="n"/>
      <c r="M194" s="67" t="n"/>
      <c r="N194" s="67" t="n"/>
      <c r="O194" s="67" t="n"/>
      <c r="P194" s="68" t="n"/>
      <c r="Q194" s="68" t="n"/>
      <c r="R194" s="69" t="n"/>
    </row>
    <row r="195" ht="14.25" customHeight="1" s="96">
      <c r="B195" s="66" t="n"/>
      <c r="C195" s="79" t="n"/>
      <c r="D195" s="67" t="n"/>
      <c r="E195" s="67" t="n"/>
      <c r="F195" s="67" t="n"/>
      <c r="G195" s="80" t="n"/>
      <c r="I195" s="66" t="n"/>
      <c r="J195" s="67" t="n"/>
      <c r="K195" s="67" t="n"/>
      <c r="L195" s="67" t="n"/>
      <c r="M195" s="67" t="n"/>
      <c r="N195" s="67" t="n"/>
      <c r="O195" s="67" t="n"/>
      <c r="P195" s="68" t="n"/>
      <c r="Q195" s="68" t="n"/>
      <c r="R195" s="69" t="n"/>
    </row>
    <row r="196" ht="14.25" customHeight="1" s="96">
      <c r="B196" s="66" t="n"/>
      <c r="C196" s="79" t="n"/>
      <c r="D196" s="67" t="n"/>
      <c r="E196" s="67" t="n"/>
      <c r="F196" s="67" t="n"/>
      <c r="G196" s="80" t="n"/>
      <c r="I196" s="66" t="n"/>
      <c r="J196" s="67" t="n"/>
      <c r="K196" s="67" t="n"/>
      <c r="L196" s="67" t="n"/>
      <c r="M196" s="67" t="n"/>
      <c r="N196" s="67" t="n"/>
      <c r="O196" s="67" t="n"/>
      <c r="P196" s="68" t="n"/>
      <c r="Q196" s="68" t="n"/>
      <c r="R196" s="69" t="n"/>
    </row>
    <row r="197" ht="14.25" customHeight="1" s="96">
      <c r="B197" s="66" t="n"/>
      <c r="C197" s="79" t="n"/>
      <c r="D197" s="67" t="n"/>
      <c r="E197" s="67" t="n"/>
      <c r="F197" s="67" t="n"/>
      <c r="G197" s="80" t="n"/>
      <c r="I197" s="66" t="n"/>
      <c r="J197" s="67" t="n"/>
      <c r="K197" s="67" t="n"/>
      <c r="L197" s="67" t="n"/>
      <c r="M197" s="67" t="n"/>
      <c r="N197" s="67" t="n"/>
      <c r="O197" s="67" t="n"/>
      <c r="P197" s="68" t="n"/>
      <c r="Q197" s="68" t="n"/>
      <c r="R197" s="69" t="n"/>
    </row>
    <row r="198" ht="14.25" customHeight="1" s="96">
      <c r="B198" s="66" t="n"/>
      <c r="C198" s="79" t="n"/>
      <c r="D198" s="67" t="n"/>
      <c r="E198" s="67" t="n"/>
      <c r="F198" s="67" t="n"/>
      <c r="G198" s="80" t="n"/>
      <c r="I198" s="66" t="n"/>
      <c r="J198" s="67" t="n"/>
      <c r="K198" s="67" t="n"/>
      <c r="L198" s="67" t="n"/>
      <c r="M198" s="67" t="n"/>
      <c r="N198" s="67" t="n"/>
      <c r="O198" s="67" t="n"/>
      <c r="P198" s="68" t="n"/>
      <c r="Q198" s="68" t="n"/>
      <c r="R198" s="69" t="n"/>
    </row>
    <row r="199" ht="14.25" customHeight="1" s="96">
      <c r="B199" s="66" t="n"/>
      <c r="C199" s="79" t="n"/>
      <c r="D199" s="67" t="n"/>
      <c r="E199" s="67" t="n"/>
      <c r="F199" s="67" t="n"/>
      <c r="G199" s="80" t="n"/>
      <c r="I199" s="66" t="n"/>
      <c r="J199" s="67" t="n"/>
      <c r="K199" s="67" t="n"/>
      <c r="L199" s="67" t="n"/>
      <c r="M199" s="67" t="n"/>
      <c r="N199" s="67" t="n"/>
      <c r="O199" s="67" t="n"/>
      <c r="P199" s="68" t="n"/>
      <c r="Q199" s="68" t="n"/>
      <c r="R199" s="69" t="n"/>
    </row>
    <row r="200" ht="14.25" customHeight="1" s="96">
      <c r="B200" s="66" t="n"/>
      <c r="C200" s="79" t="n"/>
      <c r="D200" s="67" t="n"/>
      <c r="E200" s="67" t="n"/>
      <c r="F200" s="67" t="n"/>
      <c r="G200" s="80" t="n"/>
      <c r="I200" s="66" t="n"/>
      <c r="J200" s="67" t="n"/>
      <c r="K200" s="67" t="n"/>
      <c r="L200" s="67" t="n"/>
      <c r="M200" s="67" t="n"/>
      <c r="N200" s="67" t="n"/>
      <c r="O200" s="67" t="n"/>
      <c r="P200" s="68" t="n"/>
      <c r="Q200" s="68" t="n"/>
      <c r="R200" s="69" t="n"/>
    </row>
    <row r="201" ht="14.25" customHeight="1" s="96">
      <c r="B201" s="66" t="n"/>
      <c r="C201" s="79" t="n"/>
      <c r="D201" s="67" t="n"/>
      <c r="E201" s="67" t="n"/>
      <c r="F201" s="67" t="n"/>
      <c r="G201" s="80" t="n"/>
      <c r="I201" s="66" t="n"/>
      <c r="J201" s="67" t="n"/>
      <c r="K201" s="67" t="n"/>
      <c r="L201" s="67" t="n"/>
      <c r="M201" s="67" t="n"/>
      <c r="N201" s="67" t="n"/>
      <c r="O201" s="67" t="n"/>
      <c r="P201" s="68" t="n"/>
      <c r="Q201" s="68" t="n"/>
      <c r="R201" s="69" t="n"/>
    </row>
    <row r="202" ht="14.25" customHeight="1" s="96">
      <c r="B202" s="66" t="n"/>
      <c r="C202" s="79" t="n"/>
      <c r="D202" s="67" t="n"/>
      <c r="E202" s="67" t="n"/>
      <c r="F202" s="67" t="n"/>
      <c r="G202" s="80" t="n"/>
      <c r="I202" s="66" t="n"/>
      <c r="J202" s="67" t="n"/>
      <c r="K202" s="67" t="n"/>
      <c r="L202" s="67" t="n"/>
      <c r="M202" s="67" t="n"/>
      <c r="N202" s="67" t="n"/>
      <c r="O202" s="67" t="n"/>
      <c r="P202" s="68" t="n"/>
      <c r="Q202" s="68" t="n"/>
      <c r="R202" s="69" t="n"/>
    </row>
    <row r="203" ht="14.25" customHeight="1" s="96">
      <c r="B203" s="66" t="n"/>
      <c r="C203" s="79" t="n"/>
      <c r="D203" s="67" t="n"/>
      <c r="E203" s="67" t="n"/>
      <c r="F203" s="67" t="n"/>
      <c r="G203" s="80" t="n"/>
      <c r="I203" s="66" t="n"/>
      <c r="J203" s="67" t="n"/>
      <c r="K203" s="67" t="n"/>
      <c r="L203" s="67" t="n"/>
      <c r="M203" s="67" t="n"/>
      <c r="N203" s="67" t="n"/>
      <c r="O203" s="67" t="n"/>
      <c r="P203" s="68" t="n"/>
      <c r="Q203" s="68" t="n"/>
      <c r="R203" s="69" t="n"/>
    </row>
    <row r="204" ht="14.25" customHeight="1" s="96">
      <c r="B204" s="66" t="n"/>
      <c r="C204" s="79" t="n"/>
      <c r="D204" s="67" t="n"/>
      <c r="E204" s="67" t="n"/>
      <c r="F204" s="67" t="n"/>
      <c r="G204" s="80" t="n"/>
      <c r="I204" s="66" t="n"/>
      <c r="J204" s="67" t="n"/>
      <c r="K204" s="67" t="n"/>
      <c r="L204" s="67" t="n"/>
      <c r="M204" s="67" t="n"/>
      <c r="N204" s="67" t="n"/>
      <c r="O204" s="67" t="n"/>
      <c r="P204" s="68" t="n"/>
      <c r="Q204" s="68" t="n"/>
      <c r="R204" s="69" t="n"/>
    </row>
    <row r="205" ht="14.25" customHeight="1" s="96">
      <c r="B205" s="66" t="n"/>
      <c r="C205" s="79" t="n"/>
      <c r="D205" s="67" t="n"/>
      <c r="E205" s="67" t="n"/>
      <c r="F205" s="67" t="n"/>
      <c r="G205" s="80" t="n"/>
      <c r="I205" s="66" t="n"/>
      <c r="J205" s="67" t="n"/>
      <c r="K205" s="67" t="n"/>
      <c r="L205" s="67" t="n"/>
      <c r="M205" s="67" t="n"/>
      <c r="N205" s="67" t="n"/>
      <c r="O205" s="67" t="n"/>
      <c r="P205" s="68" t="n"/>
      <c r="Q205" s="68" t="n"/>
      <c r="R205" s="69" t="n"/>
    </row>
    <row r="206" ht="14.25" customHeight="1" s="96">
      <c r="B206" s="66" t="n"/>
      <c r="C206" s="79" t="n"/>
      <c r="D206" s="67" t="n"/>
      <c r="E206" s="67" t="n"/>
      <c r="F206" s="67" t="n"/>
      <c r="G206" s="80" t="n"/>
      <c r="I206" s="66" t="n"/>
      <c r="J206" s="67" t="n"/>
      <c r="K206" s="67" t="n"/>
      <c r="L206" s="67" t="n"/>
      <c r="M206" s="67" t="n"/>
      <c r="N206" s="67" t="n"/>
      <c r="O206" s="67" t="n"/>
      <c r="P206" s="68" t="n"/>
      <c r="Q206" s="68" t="n"/>
      <c r="R206" s="69" t="n"/>
    </row>
    <row r="207" ht="14.25" customHeight="1" s="96">
      <c r="B207" s="66" t="n"/>
      <c r="C207" s="79" t="n"/>
      <c r="D207" s="67" t="n"/>
      <c r="E207" s="67" t="n"/>
      <c r="F207" s="67" t="n"/>
      <c r="G207" s="80" t="n"/>
      <c r="I207" s="66" t="n"/>
      <c r="J207" s="67" t="n"/>
      <c r="K207" s="67" t="n"/>
      <c r="L207" s="67" t="n"/>
      <c r="M207" s="67" t="n"/>
      <c r="N207" s="67" t="n"/>
      <c r="O207" s="67" t="n"/>
      <c r="P207" s="68" t="n"/>
      <c r="Q207" s="68" t="n"/>
      <c r="R207" s="69" t="n"/>
    </row>
    <row r="208" ht="14.25" customHeight="1" s="96">
      <c r="B208" s="66" t="n"/>
      <c r="C208" s="79" t="n"/>
      <c r="D208" s="67" t="n"/>
      <c r="E208" s="67" t="n"/>
      <c r="F208" s="67" t="n"/>
      <c r="G208" s="80" t="n"/>
      <c r="I208" s="66" t="n"/>
      <c r="J208" s="67" t="n"/>
      <c r="K208" s="67" t="n"/>
      <c r="L208" s="67" t="n"/>
      <c r="M208" s="67" t="n"/>
      <c r="N208" s="67" t="n"/>
      <c r="O208" s="67" t="n"/>
      <c r="P208" s="68" t="n"/>
      <c r="Q208" s="68" t="n"/>
      <c r="R208" s="69" t="n"/>
    </row>
    <row r="209" ht="14.25" customHeight="1" s="96">
      <c r="B209" s="66" t="n"/>
      <c r="C209" s="79" t="n"/>
      <c r="D209" s="67" t="n"/>
      <c r="E209" s="67" t="n"/>
      <c r="F209" s="67" t="n"/>
      <c r="G209" s="80" t="n"/>
      <c r="I209" s="66" t="n"/>
      <c r="J209" s="67" t="n"/>
      <c r="K209" s="67" t="n"/>
      <c r="L209" s="67" t="n"/>
      <c r="M209" s="67" t="n"/>
      <c r="N209" s="67" t="n"/>
      <c r="O209" s="67" t="n"/>
      <c r="P209" s="68" t="n"/>
      <c r="Q209" s="68" t="n"/>
      <c r="R209" s="69" t="n"/>
    </row>
    <row r="210" ht="14.25" customHeight="1" s="96">
      <c r="B210" s="66" t="n"/>
      <c r="C210" s="79" t="n"/>
      <c r="D210" s="67" t="n"/>
      <c r="E210" s="67" t="n"/>
      <c r="F210" s="67" t="n"/>
      <c r="G210" s="80" t="n"/>
      <c r="I210" s="66" t="n"/>
      <c r="J210" s="67" t="n"/>
      <c r="K210" s="67" t="n"/>
      <c r="L210" s="67" t="n"/>
      <c r="M210" s="67" t="n"/>
      <c r="N210" s="67" t="n"/>
      <c r="O210" s="67" t="n"/>
      <c r="P210" s="68" t="n"/>
      <c r="Q210" s="68" t="n"/>
      <c r="R210" s="69" t="n"/>
    </row>
    <row r="211" ht="14.25" customHeight="1" s="96">
      <c r="B211" s="66" t="n"/>
      <c r="C211" s="79" t="n"/>
      <c r="D211" s="67" t="n"/>
      <c r="E211" s="67" t="n"/>
      <c r="F211" s="67" t="n"/>
      <c r="G211" s="80" t="n"/>
      <c r="I211" s="66" t="n"/>
      <c r="J211" s="67" t="n"/>
      <c r="K211" s="67" t="n"/>
      <c r="L211" s="67" t="n"/>
      <c r="M211" s="67" t="n"/>
      <c r="N211" s="67" t="n"/>
      <c r="O211" s="67" t="n"/>
      <c r="P211" s="68" t="n"/>
      <c r="Q211" s="68" t="n"/>
      <c r="R211" s="69" t="n"/>
    </row>
    <row r="212" ht="14.25" customHeight="1" s="96">
      <c r="B212" s="66" t="n"/>
      <c r="C212" s="79" t="n"/>
      <c r="D212" s="67" t="n"/>
      <c r="E212" s="67" t="n"/>
      <c r="F212" s="67" t="n"/>
      <c r="G212" s="80" t="n"/>
      <c r="I212" s="66" t="n"/>
      <c r="J212" s="67" t="n"/>
      <c r="K212" s="67" t="n"/>
      <c r="L212" s="67" t="n"/>
      <c r="M212" s="67" t="n"/>
      <c r="N212" s="67" t="n"/>
      <c r="O212" s="67" t="n"/>
      <c r="P212" s="68" t="n"/>
      <c r="Q212" s="68" t="n"/>
      <c r="R212" s="69" t="n"/>
    </row>
    <row r="213" ht="14.25" customHeight="1" s="96">
      <c r="B213" s="66" t="n"/>
      <c r="C213" s="79" t="n"/>
      <c r="D213" s="67" t="n"/>
      <c r="E213" s="67" t="n"/>
      <c r="F213" s="67" t="n"/>
      <c r="G213" s="80" t="n"/>
      <c r="I213" s="66" t="n"/>
      <c r="J213" s="67" t="n"/>
      <c r="K213" s="67" t="n"/>
      <c r="L213" s="67" t="n"/>
      <c r="M213" s="67" t="n"/>
      <c r="N213" s="67" t="n"/>
      <c r="O213" s="67" t="n"/>
      <c r="P213" s="68" t="n"/>
      <c r="Q213" s="68" t="n"/>
      <c r="R213" s="69" t="n"/>
    </row>
    <row r="214" ht="14.25" customHeight="1" s="96">
      <c r="B214" s="66" t="n"/>
      <c r="C214" s="79" t="n"/>
      <c r="D214" s="67" t="n"/>
      <c r="E214" s="67" t="n"/>
      <c r="F214" s="67" t="n"/>
      <c r="G214" s="80" t="n"/>
      <c r="I214" s="66" t="n"/>
      <c r="J214" s="67" t="n"/>
      <c r="K214" s="67" t="n"/>
      <c r="L214" s="67" t="n"/>
      <c r="M214" s="67" t="n"/>
      <c r="N214" s="67" t="n"/>
      <c r="O214" s="67" t="n"/>
      <c r="P214" s="68" t="n"/>
      <c r="Q214" s="68" t="n"/>
      <c r="R214" s="69" t="n"/>
    </row>
    <row r="215" ht="14.25" customHeight="1" s="96">
      <c r="B215" s="66" t="n"/>
      <c r="C215" s="79" t="n"/>
      <c r="D215" s="67" t="n"/>
      <c r="E215" s="67" t="n"/>
      <c r="F215" s="67" t="n"/>
      <c r="G215" s="80" t="n"/>
      <c r="I215" s="66" t="n"/>
      <c r="J215" s="67" t="n"/>
      <c r="K215" s="67" t="n"/>
      <c r="L215" s="67" t="n"/>
      <c r="M215" s="67" t="n"/>
      <c r="N215" s="67" t="n"/>
      <c r="O215" s="67" t="n"/>
      <c r="P215" s="68" t="n"/>
      <c r="Q215" s="68" t="n"/>
      <c r="R215" s="69" t="n"/>
    </row>
    <row r="216" ht="14.25" customHeight="1" s="96">
      <c r="B216" s="66" t="n"/>
      <c r="C216" s="79" t="n"/>
      <c r="D216" s="67" t="n"/>
      <c r="E216" s="67" t="n"/>
      <c r="F216" s="67" t="n"/>
      <c r="G216" s="80" t="n"/>
      <c r="I216" s="66" t="n"/>
      <c r="J216" s="67" t="n"/>
      <c r="K216" s="67" t="n"/>
      <c r="L216" s="67" t="n"/>
      <c r="M216" s="67" t="n"/>
      <c r="N216" s="67" t="n"/>
      <c r="O216" s="67" t="n"/>
      <c r="P216" s="68" t="n"/>
      <c r="Q216" s="68" t="n"/>
      <c r="R216" s="69" t="n"/>
    </row>
    <row r="217" ht="14.25" customHeight="1" s="96">
      <c r="B217" s="66" t="n"/>
      <c r="C217" s="79" t="n"/>
      <c r="D217" s="67" t="n"/>
      <c r="E217" s="67" t="n"/>
      <c r="F217" s="67" t="n"/>
      <c r="G217" s="80" t="n"/>
      <c r="I217" s="66" t="n"/>
      <c r="J217" s="67" t="n"/>
      <c r="K217" s="67" t="n"/>
      <c r="L217" s="67" t="n"/>
      <c r="M217" s="67" t="n"/>
      <c r="N217" s="67" t="n"/>
      <c r="O217" s="67" t="n"/>
      <c r="P217" s="68" t="n"/>
      <c r="Q217" s="68" t="n"/>
      <c r="R217" s="69" t="n"/>
    </row>
    <row r="218" ht="14.25" customHeight="1" s="96">
      <c r="B218" s="66" t="n"/>
      <c r="C218" s="79" t="n"/>
      <c r="D218" s="67" t="n"/>
      <c r="E218" s="67" t="n"/>
      <c r="F218" s="67" t="n"/>
      <c r="G218" s="80" t="n"/>
      <c r="I218" s="66" t="n"/>
      <c r="J218" s="67" t="n"/>
      <c r="K218" s="67" t="n"/>
      <c r="L218" s="67" t="n"/>
      <c r="M218" s="67" t="n"/>
      <c r="N218" s="67" t="n"/>
      <c r="O218" s="67" t="n"/>
      <c r="P218" s="68" t="n"/>
      <c r="Q218" s="68" t="n"/>
      <c r="R218" s="69" t="n"/>
    </row>
    <row r="219" ht="14.25" customHeight="1" s="96">
      <c r="B219" s="66" t="n"/>
      <c r="C219" s="79" t="n"/>
      <c r="D219" s="67" t="n"/>
      <c r="E219" s="67" t="n"/>
      <c r="F219" s="67" t="n"/>
      <c r="G219" s="80" t="n"/>
      <c r="I219" s="66" t="n"/>
      <c r="J219" s="67" t="n"/>
      <c r="K219" s="67" t="n"/>
      <c r="L219" s="67" t="n"/>
      <c r="M219" s="67" t="n"/>
      <c r="N219" s="67" t="n"/>
      <c r="O219" s="67" t="n"/>
      <c r="P219" s="68" t="n"/>
      <c r="Q219" s="68" t="n"/>
      <c r="R219" s="69" t="n"/>
    </row>
    <row r="220" ht="14.25" customHeight="1" s="96">
      <c r="B220" s="66" t="n"/>
      <c r="C220" s="79" t="n"/>
      <c r="D220" s="67" t="n"/>
      <c r="E220" s="67" t="n"/>
      <c r="F220" s="67" t="n"/>
      <c r="G220" s="80" t="n"/>
      <c r="I220" s="66" t="n"/>
      <c r="J220" s="67" t="n"/>
      <c r="K220" s="67" t="n"/>
      <c r="L220" s="67" t="n"/>
      <c r="M220" s="67" t="n"/>
      <c r="N220" s="67" t="n"/>
      <c r="O220" s="67" t="n"/>
      <c r="P220" s="68" t="n"/>
      <c r="Q220" s="68" t="n"/>
      <c r="R220" s="69" t="n"/>
    </row>
    <row r="221" ht="14.25" customHeight="1" s="96">
      <c r="B221" s="66" t="n"/>
      <c r="C221" s="79" t="n"/>
      <c r="D221" s="67" t="n"/>
      <c r="E221" s="67" t="n"/>
      <c r="F221" s="67" t="n"/>
      <c r="G221" s="80" t="n"/>
      <c r="I221" s="66" t="n"/>
      <c r="J221" s="67" t="n"/>
      <c r="K221" s="67" t="n"/>
      <c r="L221" s="67" t="n"/>
      <c r="M221" s="67" t="n"/>
      <c r="N221" s="67" t="n"/>
      <c r="O221" s="67" t="n"/>
      <c r="P221" s="68" t="n"/>
      <c r="Q221" s="68" t="n"/>
      <c r="R221" s="69" t="n"/>
    </row>
    <row r="222" ht="14.25" customHeight="1" s="96">
      <c r="B222" s="66" t="n"/>
      <c r="C222" s="79" t="n"/>
      <c r="D222" s="67" t="n"/>
      <c r="E222" s="67" t="n"/>
      <c r="F222" s="67" t="n"/>
      <c r="G222" s="80" t="n"/>
      <c r="I222" s="66" t="n"/>
      <c r="J222" s="67" t="n"/>
      <c r="K222" s="67" t="n"/>
      <c r="L222" s="67" t="n"/>
      <c r="M222" s="67" t="n"/>
      <c r="N222" s="67" t="n"/>
      <c r="O222" s="67" t="n"/>
      <c r="P222" s="68" t="n"/>
      <c r="Q222" s="68" t="n"/>
      <c r="R222" s="69" t="n"/>
    </row>
    <row r="223" ht="14.25" customHeight="1" s="96">
      <c r="B223" s="66" t="n"/>
      <c r="C223" s="79" t="n"/>
      <c r="D223" s="67" t="n"/>
      <c r="E223" s="67" t="n"/>
      <c r="F223" s="67" t="n"/>
      <c r="G223" s="80" t="n"/>
      <c r="I223" s="66" t="n"/>
      <c r="J223" s="67" t="n"/>
      <c r="K223" s="67" t="n"/>
      <c r="L223" s="67" t="n"/>
      <c r="M223" s="67" t="n"/>
      <c r="N223" s="67" t="n"/>
      <c r="O223" s="67" t="n"/>
      <c r="P223" s="68" t="n"/>
      <c r="Q223" s="68" t="n"/>
      <c r="R223" s="69" t="n"/>
    </row>
    <row r="224" ht="14.25" customHeight="1" s="96">
      <c r="B224" s="66" t="n"/>
      <c r="C224" s="79" t="n"/>
      <c r="D224" s="67" t="n"/>
      <c r="E224" s="67" t="n"/>
      <c r="F224" s="67" t="n"/>
      <c r="G224" s="80" t="n"/>
      <c r="I224" s="66" t="n"/>
      <c r="J224" s="67" t="n"/>
      <c r="K224" s="67" t="n"/>
      <c r="L224" s="67" t="n"/>
      <c r="M224" s="67" t="n"/>
      <c r="N224" s="67" t="n"/>
      <c r="O224" s="67" t="n"/>
      <c r="P224" s="68" t="n"/>
      <c r="Q224" s="68" t="n"/>
      <c r="R224" s="69" t="n"/>
    </row>
    <row r="225" ht="14.25" customHeight="1" s="96">
      <c r="B225" s="66" t="n"/>
      <c r="C225" s="79" t="n"/>
      <c r="D225" s="67" t="n"/>
      <c r="E225" s="67" t="n"/>
      <c r="F225" s="67" t="n"/>
      <c r="G225" s="80" t="n"/>
      <c r="I225" s="66" t="n"/>
      <c r="J225" s="67" t="n"/>
      <c r="K225" s="67" t="n"/>
      <c r="L225" s="67" t="n"/>
      <c r="M225" s="67" t="n"/>
      <c r="N225" s="67" t="n"/>
      <c r="O225" s="67" t="n"/>
      <c r="P225" s="68" t="n"/>
      <c r="Q225" s="68" t="n"/>
      <c r="R225" s="69" t="n"/>
    </row>
    <row r="226" ht="14.25" customHeight="1" s="96">
      <c r="B226" s="66" t="n"/>
      <c r="C226" s="79" t="n"/>
      <c r="D226" s="67" t="n"/>
      <c r="E226" s="67" t="n"/>
      <c r="F226" s="67" t="n"/>
      <c r="G226" s="80" t="n"/>
      <c r="I226" s="66" t="n"/>
      <c r="J226" s="67" t="n"/>
      <c r="K226" s="67" t="n"/>
      <c r="L226" s="67" t="n"/>
      <c r="M226" s="67" t="n"/>
      <c r="N226" s="67" t="n"/>
      <c r="O226" s="67" t="n"/>
      <c r="P226" s="68" t="n"/>
      <c r="Q226" s="68" t="n"/>
      <c r="R226" s="69" t="n"/>
    </row>
    <row r="227" ht="14.25" customHeight="1" s="96">
      <c r="B227" s="66" t="n"/>
      <c r="C227" s="79" t="n"/>
      <c r="D227" s="67" t="n"/>
      <c r="E227" s="67" t="n"/>
      <c r="F227" s="67" t="n"/>
      <c r="G227" s="80" t="n"/>
      <c r="I227" s="66" t="n"/>
      <c r="J227" s="67" t="n"/>
      <c r="K227" s="67" t="n"/>
      <c r="L227" s="67" t="n"/>
      <c r="M227" s="67" t="n"/>
      <c r="N227" s="67" t="n"/>
      <c r="O227" s="67" t="n"/>
      <c r="P227" s="68" t="n"/>
      <c r="Q227" s="68" t="n"/>
      <c r="R227" s="69" t="n"/>
    </row>
    <row r="228" ht="14.25" customHeight="1" s="96">
      <c r="B228" s="66" t="n"/>
      <c r="C228" s="79" t="n"/>
      <c r="D228" s="67" t="n"/>
      <c r="E228" s="67" t="n"/>
      <c r="F228" s="67" t="n"/>
      <c r="G228" s="80" t="n"/>
      <c r="I228" s="66" t="n"/>
      <c r="J228" s="67" t="n"/>
      <c r="K228" s="67" t="n"/>
      <c r="L228" s="67" t="n"/>
      <c r="M228" s="67" t="n"/>
      <c r="N228" s="67" t="n"/>
      <c r="O228" s="67" t="n"/>
      <c r="P228" s="68" t="n"/>
      <c r="Q228" s="68" t="n"/>
      <c r="R228" s="69" t="n"/>
    </row>
    <row r="229" ht="14.25" customHeight="1" s="96">
      <c r="B229" s="66" t="n"/>
      <c r="C229" s="79" t="n"/>
      <c r="D229" s="67" t="n"/>
      <c r="E229" s="67" t="n"/>
      <c r="F229" s="67" t="n"/>
      <c r="G229" s="80" t="n"/>
      <c r="I229" s="66" t="n"/>
      <c r="J229" s="67" t="n"/>
      <c r="K229" s="67" t="n"/>
      <c r="L229" s="67" t="n"/>
      <c r="M229" s="67" t="n"/>
      <c r="N229" s="67" t="n"/>
      <c r="O229" s="67" t="n"/>
      <c r="P229" s="68" t="n"/>
      <c r="Q229" s="68" t="n"/>
      <c r="R229" s="69" t="n"/>
    </row>
    <row r="230" ht="14.25" customHeight="1" s="96">
      <c r="B230" s="66" t="n"/>
      <c r="C230" s="79" t="n"/>
      <c r="D230" s="67" t="n"/>
      <c r="E230" s="67" t="n"/>
      <c r="F230" s="67" t="n"/>
      <c r="G230" s="80" t="n"/>
      <c r="I230" s="66" t="n"/>
      <c r="J230" s="67" t="n"/>
      <c r="K230" s="67" t="n"/>
      <c r="L230" s="67" t="n"/>
      <c r="M230" s="67" t="n"/>
      <c r="N230" s="67" t="n"/>
      <c r="O230" s="67" t="n"/>
      <c r="P230" s="68" t="n"/>
      <c r="Q230" s="68" t="n"/>
      <c r="R230" s="69" t="n"/>
    </row>
    <row r="231" ht="14.25" customHeight="1" s="96">
      <c r="B231" s="66" t="n"/>
      <c r="C231" s="79" t="n"/>
      <c r="D231" s="67" t="n"/>
      <c r="E231" s="67" t="n"/>
      <c r="F231" s="67" t="n"/>
      <c r="G231" s="80" t="n"/>
      <c r="I231" s="66" t="n"/>
      <c r="J231" s="67" t="n"/>
      <c r="K231" s="67" t="n"/>
      <c r="L231" s="67" t="n"/>
      <c r="M231" s="67" t="n"/>
      <c r="N231" s="67" t="n"/>
      <c r="O231" s="67" t="n"/>
      <c r="P231" s="68" t="n"/>
      <c r="Q231" s="68" t="n"/>
      <c r="R231" s="69" t="n"/>
    </row>
    <row r="232" ht="14.25" customHeight="1" s="96">
      <c r="B232" s="66" t="n"/>
      <c r="C232" s="79" t="n"/>
      <c r="D232" s="67" t="n"/>
      <c r="E232" s="67" t="n"/>
      <c r="F232" s="67" t="n"/>
      <c r="G232" s="80" t="n"/>
      <c r="I232" s="66" t="n"/>
      <c r="J232" s="67" t="n"/>
      <c r="K232" s="67" t="n"/>
      <c r="L232" s="67" t="n"/>
      <c r="M232" s="67" t="n"/>
      <c r="N232" s="67" t="n"/>
      <c r="O232" s="67" t="n"/>
      <c r="P232" s="68" t="n"/>
      <c r="Q232" s="68" t="n"/>
      <c r="R232" s="69" t="n"/>
    </row>
    <row r="233" ht="14.25" customHeight="1" s="96">
      <c r="B233" s="66" t="n"/>
      <c r="C233" s="79" t="n"/>
      <c r="D233" s="67" t="n"/>
      <c r="E233" s="67" t="n"/>
      <c r="F233" s="67" t="n"/>
      <c r="G233" s="80" t="n"/>
      <c r="I233" s="66" t="n"/>
      <c r="J233" s="67" t="n"/>
      <c r="K233" s="67" t="n"/>
      <c r="L233" s="67" t="n"/>
      <c r="M233" s="67" t="n"/>
      <c r="N233" s="67" t="n"/>
      <c r="O233" s="67" t="n"/>
      <c r="P233" s="68" t="n"/>
      <c r="Q233" s="68" t="n"/>
      <c r="R233" s="69" t="n"/>
    </row>
    <row r="234" ht="14.25" customHeight="1" s="96">
      <c r="B234" s="66" t="n"/>
      <c r="C234" s="79" t="n"/>
      <c r="D234" s="67" t="n"/>
      <c r="E234" s="67" t="n"/>
      <c r="F234" s="67" t="n"/>
      <c r="G234" s="80" t="n"/>
      <c r="I234" s="66" t="n"/>
      <c r="J234" s="67" t="n"/>
      <c r="K234" s="67" t="n"/>
      <c r="L234" s="67" t="n"/>
      <c r="M234" s="67" t="n"/>
      <c r="N234" s="67" t="n"/>
      <c r="O234" s="67" t="n"/>
      <c r="P234" s="68" t="n"/>
      <c r="Q234" s="68" t="n"/>
      <c r="R234" s="69" t="n"/>
    </row>
    <row r="235" ht="14.25" customHeight="1" s="96">
      <c r="B235" s="66" t="n"/>
      <c r="C235" s="79" t="n"/>
      <c r="D235" s="67" t="n"/>
      <c r="E235" s="67" t="n"/>
      <c r="F235" s="67" t="n"/>
      <c r="G235" s="80" t="n"/>
      <c r="I235" s="66" t="n"/>
      <c r="J235" s="67" t="n"/>
      <c r="K235" s="67" t="n"/>
      <c r="L235" s="67" t="n"/>
      <c r="M235" s="67" t="n"/>
      <c r="N235" s="67" t="n"/>
      <c r="O235" s="67" t="n"/>
      <c r="P235" s="68" t="n"/>
      <c r="Q235" s="68" t="n"/>
      <c r="R235" s="69" t="n"/>
    </row>
    <row r="236" ht="14.25" customHeight="1" s="96">
      <c r="B236" s="66" t="n"/>
      <c r="C236" s="79" t="n"/>
      <c r="D236" s="67" t="n"/>
      <c r="E236" s="67" t="n"/>
      <c r="F236" s="67" t="n"/>
      <c r="G236" s="80" t="n"/>
      <c r="I236" s="66" t="n"/>
      <c r="J236" s="67" t="n"/>
      <c r="K236" s="67" t="n"/>
      <c r="L236" s="67" t="n"/>
      <c r="M236" s="67" t="n"/>
      <c r="N236" s="67" t="n"/>
      <c r="O236" s="67" t="n"/>
      <c r="P236" s="68" t="n"/>
      <c r="Q236" s="68" t="n"/>
      <c r="R236" s="69" t="n"/>
    </row>
    <row r="237" ht="14.25" customHeight="1" s="96">
      <c r="B237" s="66" t="n"/>
      <c r="C237" s="79" t="n"/>
      <c r="D237" s="67" t="n"/>
      <c r="E237" s="67" t="n"/>
      <c r="F237" s="67" t="n"/>
      <c r="G237" s="80" t="n"/>
      <c r="I237" s="66" t="n"/>
      <c r="J237" s="67" t="n"/>
      <c r="K237" s="67" t="n"/>
      <c r="L237" s="67" t="n"/>
      <c r="M237" s="67" t="n"/>
      <c r="N237" s="67" t="n"/>
      <c r="O237" s="67" t="n"/>
      <c r="P237" s="68" t="n"/>
      <c r="Q237" s="68" t="n"/>
      <c r="R237" s="69" t="n"/>
    </row>
    <row r="238" ht="14.25" customHeight="1" s="96">
      <c r="B238" s="66" t="n"/>
      <c r="C238" s="79" t="n"/>
      <c r="D238" s="67" t="n"/>
      <c r="E238" s="67" t="n"/>
      <c r="F238" s="67" t="n"/>
      <c r="G238" s="80" t="n"/>
      <c r="I238" s="66" t="n"/>
      <c r="J238" s="67" t="n"/>
      <c r="K238" s="67" t="n"/>
      <c r="L238" s="67" t="n"/>
      <c r="M238" s="67" t="n"/>
      <c r="N238" s="67" t="n"/>
      <c r="O238" s="67" t="n"/>
      <c r="P238" s="68" t="n"/>
      <c r="Q238" s="68" t="n"/>
      <c r="R238" s="69" t="n"/>
    </row>
    <row r="239" ht="14.25" customHeight="1" s="96">
      <c r="B239" s="66" t="n"/>
      <c r="C239" s="79" t="n"/>
      <c r="D239" s="67" t="n"/>
      <c r="E239" s="67" t="n"/>
      <c r="F239" s="67" t="n"/>
      <c r="G239" s="80" t="n"/>
      <c r="I239" s="66" t="n"/>
      <c r="J239" s="67" t="n"/>
      <c r="K239" s="67" t="n"/>
      <c r="L239" s="67" t="n"/>
      <c r="M239" s="67" t="n"/>
      <c r="N239" s="67" t="n"/>
      <c r="O239" s="67" t="n"/>
      <c r="P239" s="68" t="n"/>
      <c r="Q239" s="68" t="n"/>
      <c r="R239" s="69" t="n"/>
    </row>
    <row r="240" ht="14.25" customHeight="1" s="96">
      <c r="B240" s="66" t="n"/>
      <c r="C240" s="79" t="n"/>
      <c r="D240" s="67" t="n"/>
      <c r="E240" s="67" t="n"/>
      <c r="F240" s="67" t="n"/>
      <c r="G240" s="80" t="n"/>
      <c r="I240" s="66" t="n"/>
      <c r="J240" s="67" t="n"/>
      <c r="K240" s="67" t="n"/>
      <c r="L240" s="67" t="n"/>
      <c r="M240" s="67" t="n"/>
      <c r="N240" s="67" t="n"/>
      <c r="O240" s="67" t="n"/>
      <c r="P240" s="68" t="n"/>
      <c r="Q240" s="68" t="n"/>
      <c r="R240" s="69" t="n"/>
    </row>
    <row r="241" ht="14.25" customHeight="1" s="96">
      <c r="B241" s="66" t="n"/>
      <c r="C241" s="79" t="n"/>
      <c r="D241" s="67" t="n"/>
      <c r="E241" s="67" t="n"/>
      <c r="F241" s="67" t="n"/>
      <c r="G241" s="80" t="n"/>
      <c r="I241" s="66" t="n"/>
      <c r="J241" s="67" t="n"/>
      <c r="K241" s="67" t="n"/>
      <c r="L241" s="67" t="n"/>
      <c r="M241" s="67" t="n"/>
      <c r="N241" s="67" t="n"/>
      <c r="O241" s="67" t="n"/>
      <c r="P241" s="68" t="n"/>
      <c r="Q241" s="68" t="n"/>
      <c r="R241" s="69" t="n"/>
    </row>
    <row r="242" ht="14.25" customHeight="1" s="96">
      <c r="B242" s="66" t="n"/>
      <c r="C242" s="79" t="n"/>
      <c r="D242" s="67" t="n"/>
      <c r="E242" s="67" t="n"/>
      <c r="F242" s="67" t="n"/>
      <c r="G242" s="80" t="n"/>
      <c r="I242" s="66" t="n"/>
      <c r="J242" s="67" t="n"/>
      <c r="K242" s="67" t="n"/>
      <c r="L242" s="67" t="n"/>
      <c r="M242" s="67" t="n"/>
      <c r="N242" s="67" t="n"/>
      <c r="O242" s="67" t="n"/>
      <c r="P242" s="68" t="n"/>
      <c r="Q242" s="68" t="n"/>
      <c r="R242" s="69" t="n"/>
    </row>
    <row r="243" ht="14.25" customHeight="1" s="96">
      <c r="B243" s="66" t="n"/>
      <c r="C243" s="79" t="n"/>
      <c r="D243" s="67" t="n"/>
      <c r="E243" s="67" t="n"/>
      <c r="F243" s="67" t="n"/>
      <c r="G243" s="80" t="n"/>
      <c r="I243" s="66" t="n"/>
      <c r="J243" s="67" t="n"/>
      <c r="K243" s="67" t="n"/>
      <c r="L243" s="67" t="n"/>
      <c r="M243" s="67" t="n"/>
      <c r="N243" s="67" t="n"/>
      <c r="O243" s="67" t="n"/>
      <c r="P243" s="68" t="n"/>
      <c r="Q243" s="68" t="n"/>
      <c r="R243" s="69" t="n"/>
    </row>
    <row r="244" ht="14.25" customHeight="1" s="96">
      <c r="B244" s="66" t="n"/>
      <c r="C244" s="79" t="n"/>
      <c r="D244" s="67" t="n"/>
      <c r="E244" s="67" t="n"/>
      <c r="F244" s="67" t="n"/>
      <c r="G244" s="80" t="n"/>
      <c r="I244" s="66" t="n"/>
      <c r="J244" s="67" t="n"/>
      <c r="K244" s="67" t="n"/>
      <c r="L244" s="67" t="n"/>
      <c r="M244" s="67" t="n"/>
      <c r="N244" s="67" t="n"/>
      <c r="O244" s="67" t="n"/>
      <c r="P244" s="68" t="n"/>
      <c r="Q244" s="68" t="n"/>
      <c r="R244" s="69" t="n"/>
    </row>
    <row r="245" ht="14.25" customHeight="1" s="96">
      <c r="B245" s="66" t="n"/>
      <c r="C245" s="79" t="n"/>
      <c r="D245" s="67" t="n"/>
      <c r="E245" s="67" t="n"/>
      <c r="F245" s="67" t="n"/>
      <c r="G245" s="80" t="n"/>
      <c r="I245" s="66" t="n"/>
      <c r="J245" s="67" t="n"/>
      <c r="K245" s="67" t="n"/>
      <c r="L245" s="67" t="n"/>
      <c r="M245" s="67" t="n"/>
      <c r="N245" s="67" t="n"/>
      <c r="O245" s="67" t="n"/>
      <c r="P245" s="68" t="n"/>
      <c r="Q245" s="68" t="n"/>
      <c r="R245" s="69" t="n"/>
    </row>
    <row r="246" ht="14.25" customHeight="1" s="96">
      <c r="B246" s="81" t="n"/>
      <c r="C246" s="82" t="n"/>
      <c r="D246" s="83" t="n"/>
      <c r="E246" s="83" t="n"/>
      <c r="F246" s="83" t="n"/>
      <c r="G246" s="84" t="n"/>
      <c r="I246" s="81" t="n"/>
      <c r="J246" s="83" t="n"/>
      <c r="K246" s="83" t="n"/>
      <c r="L246" s="83" t="n"/>
      <c r="M246" s="83" t="n"/>
      <c r="N246" s="83" t="n"/>
      <c r="O246" s="83" t="n"/>
      <c r="P246" s="85" t="n"/>
      <c r="Q246" s="85" t="n"/>
      <c r="R246" s="86" t="n"/>
    </row>
    <row r="247" ht="14.25" customHeight="1" s="96">
      <c r="A247" s="122" t="n"/>
      <c r="B247" s="73" t="n"/>
      <c r="C247" s="74" t="n"/>
      <c r="D247" s="38" t="n"/>
      <c r="E247" s="38" t="n"/>
      <c r="F247" s="38" t="n"/>
      <c r="G247" s="75" t="n"/>
      <c r="I247" s="33" t="n"/>
      <c r="J247" s="93" t="n"/>
      <c r="K247" s="93" t="n"/>
      <c r="L247" s="93" t="n"/>
      <c r="M247" s="93" t="n"/>
      <c r="N247" s="93" t="n"/>
      <c r="O247" s="93" t="n"/>
      <c r="P247" s="94" t="n"/>
      <c r="Q247" s="94" t="n"/>
      <c r="R247" s="95" t="n"/>
    </row>
    <row r="248" ht="14.25" customHeight="1" s="96">
      <c r="B248" s="44" t="n"/>
      <c r="C248" s="78" t="n"/>
      <c r="D248" s="46" t="n"/>
      <c r="E248" s="46" t="n"/>
      <c r="F248" s="46" t="n"/>
      <c r="G248" s="45" t="n"/>
      <c r="I248" s="44" t="n"/>
      <c r="J248" s="46" t="n"/>
      <c r="K248" s="46" t="n"/>
      <c r="L248" s="46" t="n"/>
      <c r="M248" s="46" t="n"/>
      <c r="N248" s="46" t="n"/>
      <c r="O248" s="46" t="n"/>
      <c r="P248" s="47" t="n"/>
      <c r="Q248" s="47" t="n"/>
      <c r="R248" s="48" t="n"/>
    </row>
    <row r="249" ht="14.25" customHeight="1" s="96">
      <c r="B249" s="44" t="n"/>
      <c r="C249" s="78" t="n"/>
      <c r="D249" s="46" t="n"/>
      <c r="E249" s="46" t="n"/>
      <c r="F249" s="46" t="n"/>
      <c r="G249" s="45" t="n"/>
      <c r="I249" s="44" t="n"/>
      <c r="J249" s="46" t="n"/>
      <c r="K249" s="46" t="n"/>
      <c r="L249" s="46" t="n"/>
      <c r="M249" s="46" t="n"/>
      <c r="N249" s="46" t="n"/>
      <c r="O249" s="46" t="n"/>
      <c r="P249" s="47" t="n"/>
      <c r="Q249" s="47" t="n"/>
      <c r="R249" s="48" t="n"/>
    </row>
    <row r="250" ht="14.25" customHeight="1" s="96">
      <c r="B250" s="44" t="n"/>
      <c r="C250" s="78" t="n"/>
      <c r="D250" s="46" t="n"/>
      <c r="E250" s="46" t="n"/>
      <c r="F250" s="46" t="n"/>
      <c r="G250" s="45" t="n"/>
      <c r="I250" s="44" t="n"/>
      <c r="J250" s="46" t="n"/>
      <c r="K250" s="46" t="n"/>
      <c r="L250" s="46" t="n"/>
      <c r="M250" s="46" t="n"/>
      <c r="N250" s="46" t="n"/>
      <c r="O250" s="46" t="n"/>
      <c r="P250" s="47" t="n"/>
      <c r="Q250" s="47" t="n"/>
      <c r="R250" s="48" t="n"/>
    </row>
    <row r="251" ht="14.25" customHeight="1" s="96">
      <c r="B251" s="44" t="n"/>
      <c r="C251" s="78" t="n"/>
      <c r="D251" s="46" t="n"/>
      <c r="E251" s="46" t="n"/>
      <c r="F251" s="46" t="n"/>
      <c r="G251" s="45" t="n"/>
      <c r="I251" s="44" t="n"/>
      <c r="J251" s="46" t="n"/>
      <c r="K251" s="46" t="n"/>
      <c r="L251" s="46" t="n"/>
      <c r="M251" s="46" t="n"/>
      <c r="N251" s="46" t="n"/>
      <c r="O251" s="46" t="n"/>
      <c r="P251" s="47" t="n"/>
      <c r="Q251" s="47" t="n"/>
      <c r="R251" s="48" t="n"/>
    </row>
    <row r="252" ht="14.25" customHeight="1" s="96">
      <c r="B252" s="44" t="n"/>
      <c r="C252" s="78" t="n"/>
      <c r="D252" s="46" t="n"/>
      <c r="E252" s="46" t="n"/>
      <c r="F252" s="46" t="n"/>
      <c r="G252" s="45" t="n"/>
      <c r="I252" s="44" t="n"/>
      <c r="J252" s="46" t="n"/>
      <c r="K252" s="46" t="n"/>
      <c r="L252" s="46" t="n"/>
      <c r="M252" s="46" t="n"/>
      <c r="N252" s="46" t="n"/>
      <c r="O252" s="46" t="n"/>
      <c r="P252" s="47" t="n"/>
      <c r="Q252" s="47" t="n"/>
      <c r="R252" s="48" t="n"/>
    </row>
    <row r="253" ht="14.25" customHeight="1" s="96">
      <c r="B253" s="44" t="n"/>
      <c r="C253" s="78" t="n"/>
      <c r="D253" s="46" t="n"/>
      <c r="E253" s="46" t="n"/>
      <c r="F253" s="46" t="n"/>
      <c r="G253" s="45" t="n"/>
      <c r="I253" s="44" t="n"/>
      <c r="J253" s="46" t="n"/>
      <c r="K253" s="46" t="n"/>
      <c r="L253" s="46" t="n"/>
      <c r="M253" s="46" t="n"/>
      <c r="N253" s="46" t="n"/>
      <c r="O253" s="46" t="n"/>
      <c r="P253" s="47" t="n"/>
      <c r="Q253" s="47" t="n"/>
      <c r="R253" s="48" t="n"/>
    </row>
    <row r="254" ht="14.25" customHeight="1" s="96">
      <c r="B254" s="44" t="n"/>
      <c r="C254" s="78" t="n"/>
      <c r="D254" s="46" t="n"/>
      <c r="E254" s="46" t="n"/>
      <c r="F254" s="46" t="n"/>
      <c r="G254" s="45" t="n"/>
      <c r="I254" s="44" t="n"/>
      <c r="J254" s="46" t="n"/>
      <c r="K254" s="46" t="n"/>
      <c r="L254" s="46" t="n"/>
      <c r="M254" s="46" t="n"/>
      <c r="N254" s="46" t="n"/>
      <c r="O254" s="46" t="n"/>
      <c r="P254" s="47" t="n"/>
      <c r="Q254" s="47" t="n"/>
      <c r="R254" s="48" t="n"/>
    </row>
    <row r="255" ht="14.25" customHeight="1" s="96">
      <c r="B255" s="44" t="n"/>
      <c r="C255" s="78" t="n"/>
      <c r="D255" s="46" t="n"/>
      <c r="E255" s="46" t="n"/>
      <c r="F255" s="46" t="n"/>
      <c r="G255" s="45" t="n"/>
      <c r="I255" s="44" t="n"/>
      <c r="J255" s="46" t="n"/>
      <c r="K255" s="46" t="n"/>
      <c r="L255" s="46" t="n"/>
      <c r="M255" s="46" t="n"/>
      <c r="N255" s="46" t="n"/>
      <c r="O255" s="46" t="n"/>
      <c r="P255" s="47" t="n"/>
      <c r="Q255" s="47" t="n"/>
      <c r="R255" s="48" t="n"/>
    </row>
    <row r="256" ht="14.25" customHeight="1" s="96">
      <c r="B256" s="44" t="n"/>
      <c r="C256" s="78" t="n"/>
      <c r="D256" s="46" t="n"/>
      <c r="E256" s="46" t="n"/>
      <c r="F256" s="46" t="n"/>
      <c r="G256" s="45" t="n"/>
      <c r="I256" s="44" t="n"/>
      <c r="J256" s="46" t="n"/>
      <c r="K256" s="46" t="n"/>
      <c r="L256" s="46" t="n"/>
      <c r="M256" s="46" t="n"/>
      <c r="N256" s="46" t="n"/>
      <c r="O256" s="46" t="n"/>
      <c r="P256" s="47" t="n"/>
      <c r="Q256" s="47" t="n"/>
      <c r="R256" s="48" t="n"/>
    </row>
    <row r="257" ht="14.25" customHeight="1" s="96">
      <c r="B257" s="44" t="n"/>
      <c r="C257" s="78" t="n"/>
      <c r="D257" s="46" t="n"/>
      <c r="E257" s="46" t="n"/>
      <c r="F257" s="46" t="n"/>
      <c r="G257" s="45" t="n"/>
      <c r="I257" s="44" t="n"/>
      <c r="J257" s="46" t="n"/>
      <c r="K257" s="46" t="n"/>
      <c r="L257" s="46" t="n"/>
      <c r="M257" s="46" t="n"/>
      <c r="N257" s="46" t="n"/>
      <c r="O257" s="46" t="n"/>
      <c r="P257" s="47" t="n"/>
      <c r="Q257" s="47" t="n"/>
      <c r="R257" s="48" t="n"/>
    </row>
    <row r="258" ht="14.25" customHeight="1" s="96">
      <c r="B258" s="44" t="n"/>
      <c r="C258" s="78" t="n"/>
      <c r="D258" s="46" t="n"/>
      <c r="E258" s="46" t="n"/>
      <c r="F258" s="46" t="n"/>
      <c r="G258" s="45" t="n"/>
      <c r="I258" s="44" t="n"/>
      <c r="J258" s="46" t="n"/>
      <c r="K258" s="46" t="n"/>
      <c r="L258" s="46" t="n"/>
      <c r="M258" s="46" t="n"/>
      <c r="N258" s="46" t="n"/>
      <c r="O258" s="46" t="n"/>
      <c r="P258" s="47" t="n"/>
      <c r="Q258" s="47" t="n"/>
      <c r="R258" s="48" t="n"/>
    </row>
    <row r="259" ht="14.25" customHeight="1" s="96">
      <c r="B259" s="44" t="n"/>
      <c r="C259" s="78" t="n"/>
      <c r="D259" s="46" t="n"/>
      <c r="E259" s="46" t="n"/>
      <c r="F259" s="46" t="n"/>
      <c r="G259" s="45" t="n"/>
      <c r="I259" s="44" t="n"/>
      <c r="J259" s="46" t="n"/>
      <c r="K259" s="46" t="n"/>
      <c r="L259" s="46" t="n"/>
      <c r="M259" s="46" t="n"/>
      <c r="N259" s="46" t="n"/>
      <c r="O259" s="46" t="n"/>
      <c r="P259" s="47" t="n"/>
      <c r="Q259" s="47" t="n"/>
      <c r="R259" s="48" t="n"/>
    </row>
    <row r="260" ht="14.25" customHeight="1" s="96">
      <c r="B260" s="44" t="n"/>
      <c r="C260" s="78" t="n"/>
      <c r="D260" s="46" t="n"/>
      <c r="E260" s="46" t="n"/>
      <c r="F260" s="46" t="n"/>
      <c r="G260" s="45" t="n"/>
      <c r="I260" s="44" t="n"/>
      <c r="J260" s="46" t="n"/>
      <c r="K260" s="46" t="n"/>
      <c r="L260" s="46" t="n"/>
      <c r="M260" s="46" t="n"/>
      <c r="N260" s="46" t="n"/>
      <c r="O260" s="46" t="n"/>
      <c r="P260" s="47" t="n"/>
      <c r="Q260" s="47" t="n"/>
      <c r="R260" s="48" t="n"/>
    </row>
    <row r="261" ht="14.25" customHeight="1" s="96">
      <c r="B261" s="44" t="n"/>
      <c r="C261" s="78" t="n"/>
      <c r="D261" s="46" t="n"/>
      <c r="E261" s="46" t="n"/>
      <c r="F261" s="46" t="n"/>
      <c r="G261" s="45" t="n"/>
      <c r="I261" s="44" t="n"/>
      <c r="J261" s="46" t="n"/>
      <c r="K261" s="46" t="n"/>
      <c r="L261" s="46" t="n"/>
      <c r="M261" s="46" t="n"/>
      <c r="N261" s="46" t="n"/>
      <c r="O261" s="46" t="n"/>
      <c r="P261" s="47" t="n"/>
      <c r="Q261" s="47" t="n"/>
      <c r="R261" s="48" t="n"/>
    </row>
    <row r="262" ht="14.25" customHeight="1" s="96">
      <c r="B262" s="44" t="n"/>
      <c r="C262" s="78" t="n"/>
      <c r="D262" s="46" t="n"/>
      <c r="E262" s="46" t="n"/>
      <c r="F262" s="46" t="n"/>
      <c r="G262" s="45" t="n"/>
      <c r="I262" s="44" t="n"/>
      <c r="J262" s="46" t="n"/>
      <c r="K262" s="46" t="n"/>
      <c r="L262" s="46" t="n"/>
      <c r="M262" s="46" t="n"/>
      <c r="N262" s="46" t="n"/>
      <c r="O262" s="46" t="n"/>
      <c r="P262" s="47" t="n"/>
      <c r="Q262" s="47" t="n"/>
      <c r="R262" s="48" t="n"/>
    </row>
    <row r="263" ht="14.25" customHeight="1" s="96">
      <c r="B263" s="44" t="n"/>
      <c r="C263" s="78" t="n"/>
      <c r="D263" s="46" t="n"/>
      <c r="E263" s="46" t="n"/>
      <c r="F263" s="46" t="n"/>
      <c r="G263" s="45" t="n"/>
      <c r="I263" s="44" t="n"/>
      <c r="J263" s="46" t="n"/>
      <c r="K263" s="46" t="n"/>
      <c r="L263" s="46" t="n"/>
      <c r="M263" s="46" t="n"/>
      <c r="N263" s="46" t="n"/>
      <c r="O263" s="46" t="n"/>
      <c r="P263" s="47" t="n"/>
      <c r="Q263" s="47" t="n"/>
      <c r="R263" s="48" t="n"/>
    </row>
    <row r="264" ht="14.25" customHeight="1" s="96">
      <c r="B264" s="44" t="n"/>
      <c r="C264" s="78" t="n"/>
      <c r="D264" s="46" t="n"/>
      <c r="E264" s="46" t="n"/>
      <c r="F264" s="46" t="n"/>
      <c r="G264" s="45" t="n"/>
      <c r="I264" s="44" t="n"/>
      <c r="J264" s="46" t="n"/>
      <c r="K264" s="46" t="n"/>
      <c r="L264" s="46" t="n"/>
      <c r="M264" s="46" t="n"/>
      <c r="N264" s="46" t="n"/>
      <c r="O264" s="46" t="n"/>
      <c r="P264" s="47" t="n"/>
      <c r="Q264" s="47" t="n"/>
      <c r="R264" s="48" t="n"/>
    </row>
    <row r="265" ht="14.25" customHeight="1" s="96">
      <c r="B265" s="44" t="n"/>
      <c r="C265" s="78" t="n"/>
      <c r="D265" s="46" t="n"/>
      <c r="E265" s="46" t="n"/>
      <c r="F265" s="46" t="n"/>
      <c r="G265" s="45" t="n"/>
      <c r="I265" s="44" t="n"/>
      <c r="J265" s="46" t="n"/>
      <c r="K265" s="46" t="n"/>
      <c r="L265" s="46" t="n"/>
      <c r="M265" s="46" t="n"/>
      <c r="N265" s="46" t="n"/>
      <c r="O265" s="46" t="n"/>
      <c r="P265" s="47" t="n"/>
      <c r="Q265" s="47" t="n"/>
      <c r="R265" s="48" t="n"/>
    </row>
    <row r="266" ht="14.25" customHeight="1" s="96">
      <c r="B266" s="44" t="n"/>
      <c r="C266" s="78" t="n"/>
      <c r="D266" s="46" t="n"/>
      <c r="E266" s="46" t="n"/>
      <c r="F266" s="46" t="n"/>
      <c r="G266" s="45" t="n"/>
      <c r="I266" s="44" t="n"/>
      <c r="J266" s="46" t="n"/>
      <c r="K266" s="46" t="n"/>
      <c r="L266" s="46" t="n"/>
      <c r="M266" s="46" t="n"/>
      <c r="N266" s="46" t="n"/>
      <c r="O266" s="46" t="n"/>
      <c r="P266" s="47" t="n"/>
      <c r="Q266" s="47" t="n"/>
      <c r="R266" s="48" t="n"/>
    </row>
    <row r="267" ht="14.25" customHeight="1" s="96">
      <c r="B267" s="44" t="n"/>
      <c r="C267" s="78" t="n"/>
      <c r="D267" s="46" t="n"/>
      <c r="E267" s="46" t="n"/>
      <c r="F267" s="46" t="n"/>
      <c r="G267" s="45" t="n"/>
      <c r="I267" s="44" t="n"/>
      <c r="J267" s="46" t="n"/>
      <c r="K267" s="46" t="n"/>
      <c r="L267" s="46" t="n"/>
      <c r="M267" s="46" t="n"/>
      <c r="N267" s="46" t="n"/>
      <c r="O267" s="46" t="n"/>
      <c r="P267" s="47" t="n"/>
      <c r="Q267" s="47" t="n"/>
      <c r="R267" s="48" t="n"/>
    </row>
    <row r="268" ht="14.25" customHeight="1" s="96">
      <c r="B268" s="44" t="n"/>
      <c r="C268" s="78" t="n"/>
      <c r="D268" s="46" t="n"/>
      <c r="E268" s="46" t="n"/>
      <c r="F268" s="46" t="n"/>
      <c r="G268" s="45" t="n"/>
      <c r="I268" s="44" t="n"/>
      <c r="J268" s="46" t="n"/>
      <c r="K268" s="46" t="n"/>
      <c r="L268" s="46" t="n"/>
      <c r="M268" s="46" t="n"/>
      <c r="N268" s="46" t="n"/>
      <c r="O268" s="46" t="n"/>
      <c r="P268" s="47" t="n"/>
      <c r="Q268" s="47" t="n"/>
      <c r="R268" s="48" t="n"/>
    </row>
    <row r="269" ht="14.25" customHeight="1" s="96">
      <c r="B269" s="44" t="n"/>
      <c r="C269" s="78" t="n"/>
      <c r="D269" s="46" t="n"/>
      <c r="E269" s="46" t="n"/>
      <c r="F269" s="46" t="n"/>
      <c r="G269" s="45" t="n"/>
      <c r="I269" s="44" t="n"/>
      <c r="J269" s="46" t="n"/>
      <c r="K269" s="46" t="n"/>
      <c r="L269" s="46" t="n"/>
      <c r="M269" s="46" t="n"/>
      <c r="N269" s="46" t="n"/>
      <c r="O269" s="46" t="n"/>
      <c r="P269" s="47" t="n"/>
      <c r="Q269" s="47" t="n"/>
      <c r="R269" s="48" t="n"/>
    </row>
    <row r="270" ht="14.25" customHeight="1" s="96">
      <c r="B270" s="44" t="n"/>
      <c r="C270" s="78" t="n"/>
      <c r="D270" s="46" t="n"/>
      <c r="E270" s="46" t="n"/>
      <c r="F270" s="46" t="n"/>
      <c r="G270" s="45" t="n"/>
      <c r="I270" s="44" t="n"/>
      <c r="J270" s="46" t="n"/>
      <c r="K270" s="46" t="n"/>
      <c r="L270" s="46" t="n"/>
      <c r="M270" s="46" t="n"/>
      <c r="N270" s="46" t="n"/>
      <c r="O270" s="46" t="n"/>
      <c r="P270" s="47" t="n"/>
      <c r="Q270" s="47" t="n"/>
      <c r="R270" s="48" t="n"/>
    </row>
    <row r="271" ht="14.25" customHeight="1" s="96">
      <c r="B271" s="44" t="n"/>
      <c r="C271" s="78" t="n"/>
      <c r="D271" s="46" t="n"/>
      <c r="E271" s="46" t="n"/>
      <c r="F271" s="46" t="n"/>
      <c r="G271" s="45" t="n"/>
      <c r="I271" s="44" t="n"/>
      <c r="J271" s="46" t="n"/>
      <c r="K271" s="46" t="n"/>
      <c r="L271" s="46" t="n"/>
      <c r="M271" s="46" t="n"/>
      <c r="N271" s="46" t="n"/>
      <c r="O271" s="46" t="n"/>
      <c r="P271" s="47" t="n"/>
      <c r="Q271" s="47" t="n"/>
      <c r="R271" s="48" t="n"/>
    </row>
    <row r="272" ht="14.25" customHeight="1" s="96">
      <c r="B272" s="44" t="n"/>
      <c r="C272" s="78" t="n"/>
      <c r="D272" s="46" t="n"/>
      <c r="E272" s="46" t="n"/>
      <c r="F272" s="46" t="n"/>
      <c r="G272" s="45" t="n"/>
      <c r="I272" s="44" t="n"/>
      <c r="J272" s="46" t="n"/>
      <c r="K272" s="46" t="n"/>
      <c r="L272" s="46" t="n"/>
      <c r="M272" s="46" t="n"/>
      <c r="N272" s="46" t="n"/>
      <c r="O272" s="46" t="n"/>
      <c r="P272" s="47" t="n"/>
      <c r="Q272" s="47" t="n"/>
      <c r="R272" s="48" t="n"/>
    </row>
    <row r="273" ht="14.25" customHeight="1" s="96">
      <c r="B273" s="44" t="n"/>
      <c r="C273" s="78" t="n"/>
      <c r="D273" s="46" t="n"/>
      <c r="E273" s="46" t="n"/>
      <c r="F273" s="46" t="n"/>
      <c r="G273" s="45" t="n"/>
      <c r="I273" s="44" t="n"/>
      <c r="J273" s="46" t="n"/>
      <c r="K273" s="46" t="n"/>
      <c r="L273" s="46" t="n"/>
      <c r="M273" s="46" t="n"/>
      <c r="N273" s="46" t="n"/>
      <c r="O273" s="46" t="n"/>
      <c r="P273" s="47" t="n"/>
      <c r="Q273" s="47" t="n"/>
      <c r="R273" s="48" t="n"/>
    </row>
    <row r="274" ht="14.25" customHeight="1" s="96">
      <c r="B274" s="44" t="n"/>
      <c r="C274" s="78" t="n"/>
      <c r="D274" s="46" t="n"/>
      <c r="E274" s="46" t="n"/>
      <c r="F274" s="46" t="n"/>
      <c r="G274" s="45" t="n"/>
      <c r="I274" s="44" t="n"/>
      <c r="J274" s="46" t="n"/>
      <c r="K274" s="46" t="n"/>
      <c r="L274" s="46" t="n"/>
      <c r="M274" s="46" t="n"/>
      <c r="N274" s="46" t="n"/>
      <c r="O274" s="46" t="n"/>
      <c r="P274" s="47" t="n"/>
      <c r="Q274" s="47" t="n"/>
      <c r="R274" s="48" t="n"/>
    </row>
    <row r="275" ht="14.25" customHeight="1" s="96">
      <c r="B275" s="44" t="n"/>
      <c r="C275" s="78" t="n"/>
      <c r="D275" s="46" t="n"/>
      <c r="E275" s="46" t="n"/>
      <c r="F275" s="46" t="n"/>
      <c r="G275" s="45" t="n"/>
      <c r="I275" s="44" t="n"/>
      <c r="J275" s="46" t="n"/>
      <c r="K275" s="46" t="n"/>
      <c r="L275" s="46" t="n"/>
      <c r="M275" s="46" t="n"/>
      <c r="N275" s="46" t="n"/>
      <c r="O275" s="46" t="n"/>
      <c r="P275" s="47" t="n"/>
      <c r="Q275" s="47" t="n"/>
      <c r="R275" s="48" t="n"/>
    </row>
    <row r="276" ht="14.25" customHeight="1" s="96">
      <c r="B276" s="44" t="n"/>
      <c r="C276" s="78" t="n"/>
      <c r="D276" s="46" t="n"/>
      <c r="E276" s="46" t="n"/>
      <c r="F276" s="46" t="n"/>
      <c r="G276" s="45" t="n"/>
      <c r="I276" s="44" t="n"/>
      <c r="J276" s="46" t="n"/>
      <c r="K276" s="46" t="n"/>
      <c r="L276" s="46" t="n"/>
      <c r="M276" s="46" t="n"/>
      <c r="N276" s="46" t="n"/>
      <c r="O276" s="46" t="n"/>
      <c r="P276" s="47" t="n"/>
      <c r="Q276" s="47" t="n"/>
      <c r="R276" s="48" t="n"/>
    </row>
    <row r="277" ht="14.25" customHeight="1" s="96">
      <c r="B277" s="44" t="n"/>
      <c r="C277" s="78" t="n"/>
      <c r="D277" s="46" t="n"/>
      <c r="E277" s="46" t="n"/>
      <c r="F277" s="46" t="n"/>
      <c r="G277" s="45" t="n"/>
      <c r="I277" s="44" t="n"/>
      <c r="J277" s="46" t="n"/>
      <c r="K277" s="46" t="n"/>
      <c r="L277" s="46" t="n"/>
      <c r="M277" s="46" t="n"/>
      <c r="N277" s="46" t="n"/>
      <c r="O277" s="46" t="n"/>
      <c r="P277" s="47" t="n"/>
      <c r="Q277" s="47" t="n"/>
      <c r="R277" s="48" t="n"/>
    </row>
    <row r="278" ht="14.25" customHeight="1" s="96">
      <c r="B278" s="44" t="n"/>
      <c r="C278" s="78" t="n"/>
      <c r="D278" s="46" t="n"/>
      <c r="E278" s="46" t="n"/>
      <c r="F278" s="46" t="n"/>
      <c r="G278" s="45" t="n"/>
      <c r="I278" s="44" t="n"/>
      <c r="J278" s="46" t="n"/>
      <c r="K278" s="46" t="n"/>
      <c r="L278" s="46" t="n"/>
      <c r="M278" s="46" t="n"/>
      <c r="N278" s="46" t="n"/>
      <c r="O278" s="46" t="n"/>
      <c r="P278" s="47" t="n"/>
      <c r="Q278" s="47" t="n"/>
      <c r="R278" s="48" t="n"/>
    </row>
    <row r="279" ht="14.25" customHeight="1" s="96">
      <c r="B279" s="44" t="n"/>
      <c r="C279" s="78" t="n"/>
      <c r="D279" s="46" t="n"/>
      <c r="E279" s="46" t="n"/>
      <c r="F279" s="46" t="n"/>
      <c r="G279" s="45" t="n"/>
      <c r="I279" s="44" t="n"/>
      <c r="J279" s="46" t="n"/>
      <c r="K279" s="46" t="n"/>
      <c r="L279" s="46" t="n"/>
      <c r="M279" s="46" t="n"/>
      <c r="N279" s="46" t="n"/>
      <c r="O279" s="46" t="n"/>
      <c r="P279" s="47" t="n"/>
      <c r="Q279" s="47" t="n"/>
      <c r="R279" s="48" t="n"/>
    </row>
    <row r="280" ht="14.25" customHeight="1" s="96">
      <c r="B280" s="44" t="n"/>
      <c r="C280" s="78" t="n"/>
      <c r="D280" s="46" t="n"/>
      <c r="E280" s="46" t="n"/>
      <c r="F280" s="46" t="n"/>
      <c r="G280" s="45" t="n"/>
      <c r="I280" s="44" t="n"/>
      <c r="J280" s="46" t="n"/>
      <c r="K280" s="46" t="n"/>
      <c r="L280" s="46" t="n"/>
      <c r="M280" s="46" t="n"/>
      <c r="N280" s="46" t="n"/>
      <c r="O280" s="46" t="n"/>
      <c r="P280" s="47" t="n"/>
      <c r="Q280" s="47" t="n"/>
      <c r="R280" s="48" t="n"/>
    </row>
    <row r="281" ht="14.25" customHeight="1" s="96">
      <c r="B281" s="44" t="n"/>
      <c r="C281" s="78" t="n"/>
      <c r="D281" s="46" t="n"/>
      <c r="E281" s="46" t="n"/>
      <c r="F281" s="46" t="n"/>
      <c r="G281" s="45" t="n"/>
      <c r="I281" s="44" t="n"/>
      <c r="J281" s="46" t="n"/>
      <c r="K281" s="46" t="n"/>
      <c r="L281" s="46" t="n"/>
      <c r="M281" s="46" t="n"/>
      <c r="N281" s="46" t="n"/>
      <c r="O281" s="46" t="n"/>
      <c r="P281" s="47" t="n"/>
      <c r="Q281" s="47" t="n"/>
      <c r="R281" s="48" t="n"/>
    </row>
    <row r="282" ht="14.25" customHeight="1" s="96">
      <c r="B282" s="44" t="n"/>
      <c r="C282" s="78" t="n"/>
      <c r="D282" s="46" t="n"/>
      <c r="E282" s="46" t="n"/>
      <c r="F282" s="46" t="n"/>
      <c r="G282" s="45" t="n"/>
      <c r="I282" s="44" t="n"/>
      <c r="J282" s="46" t="n"/>
      <c r="K282" s="46" t="n"/>
      <c r="L282" s="46" t="n"/>
      <c r="M282" s="46" t="n"/>
      <c r="N282" s="46" t="n"/>
      <c r="O282" s="46" t="n"/>
      <c r="P282" s="47" t="n"/>
      <c r="Q282" s="47" t="n"/>
      <c r="R282" s="48" t="n"/>
    </row>
    <row r="283" ht="14.25" customHeight="1" s="96">
      <c r="B283" s="44" t="n"/>
      <c r="C283" s="78" t="n"/>
      <c r="D283" s="46" t="n"/>
      <c r="E283" s="46" t="n"/>
      <c r="F283" s="46" t="n"/>
      <c r="G283" s="45" t="n"/>
      <c r="I283" s="44" t="n"/>
      <c r="J283" s="46" t="n"/>
      <c r="K283" s="46" t="n"/>
      <c r="L283" s="46" t="n"/>
      <c r="M283" s="46" t="n"/>
      <c r="N283" s="46" t="n"/>
      <c r="O283" s="46" t="n"/>
      <c r="P283" s="47" t="n"/>
      <c r="Q283" s="47" t="n"/>
      <c r="R283" s="48" t="n"/>
    </row>
    <row r="284" ht="14.25" customHeight="1" s="96">
      <c r="B284" s="44" t="n"/>
      <c r="C284" s="78" t="n"/>
      <c r="D284" s="46" t="n"/>
      <c r="E284" s="46" t="n"/>
      <c r="F284" s="46" t="n"/>
      <c r="G284" s="45" t="n"/>
      <c r="I284" s="44" t="n"/>
      <c r="J284" s="46" t="n"/>
      <c r="K284" s="46" t="n"/>
      <c r="L284" s="46" t="n"/>
      <c r="M284" s="46" t="n"/>
      <c r="N284" s="46" t="n"/>
      <c r="O284" s="46" t="n"/>
      <c r="P284" s="47" t="n"/>
      <c r="Q284" s="47" t="n"/>
      <c r="R284" s="48" t="n"/>
    </row>
    <row r="285" ht="14.25" customHeight="1" s="96">
      <c r="B285" s="44" t="n"/>
      <c r="C285" s="78" t="n"/>
      <c r="D285" s="46" t="n"/>
      <c r="E285" s="46" t="n"/>
      <c r="F285" s="46" t="n"/>
      <c r="G285" s="45" t="n"/>
      <c r="I285" s="44" t="n"/>
      <c r="J285" s="46" t="n"/>
      <c r="K285" s="46" t="n"/>
      <c r="L285" s="46" t="n"/>
      <c r="M285" s="46" t="n"/>
      <c r="N285" s="46" t="n"/>
      <c r="O285" s="46" t="n"/>
      <c r="P285" s="47" t="n"/>
      <c r="Q285" s="47" t="n"/>
      <c r="R285" s="48" t="n"/>
    </row>
    <row r="286" ht="14.25" customHeight="1" s="96">
      <c r="B286" s="44" t="n"/>
      <c r="C286" s="78" t="n"/>
      <c r="D286" s="46" t="n"/>
      <c r="E286" s="46" t="n"/>
      <c r="F286" s="46" t="n"/>
      <c r="G286" s="45" t="n"/>
      <c r="I286" s="44" t="n"/>
      <c r="J286" s="46" t="n"/>
      <c r="K286" s="46" t="n"/>
      <c r="L286" s="46" t="n"/>
      <c r="M286" s="46" t="n"/>
      <c r="N286" s="46" t="n"/>
      <c r="O286" s="46" t="n"/>
      <c r="P286" s="47" t="n"/>
      <c r="Q286" s="47" t="n"/>
      <c r="R286" s="48" t="n"/>
    </row>
    <row r="287" ht="14.25" customHeight="1" s="96">
      <c r="B287" s="44" t="n"/>
      <c r="C287" s="78" t="n"/>
      <c r="D287" s="46" t="n"/>
      <c r="E287" s="46" t="n"/>
      <c r="F287" s="46" t="n"/>
      <c r="G287" s="45" t="n"/>
      <c r="I287" s="44" t="n"/>
      <c r="J287" s="46" t="n"/>
      <c r="K287" s="46" t="n"/>
      <c r="L287" s="46" t="n"/>
      <c r="M287" s="46" t="n"/>
      <c r="N287" s="46" t="n"/>
      <c r="O287" s="46" t="n"/>
      <c r="P287" s="47" t="n"/>
      <c r="Q287" s="47" t="n"/>
      <c r="R287" s="48" t="n"/>
    </row>
    <row r="288" ht="14.25" customHeight="1" s="96">
      <c r="B288" s="44" t="n"/>
      <c r="C288" s="78" t="n"/>
      <c r="D288" s="46" t="n"/>
      <c r="E288" s="46" t="n"/>
      <c r="F288" s="46" t="n"/>
      <c r="G288" s="45" t="n"/>
      <c r="I288" s="44" t="n"/>
      <c r="J288" s="46" t="n"/>
      <c r="K288" s="46" t="n"/>
      <c r="L288" s="46" t="n"/>
      <c r="M288" s="46" t="n"/>
      <c r="N288" s="46" t="n"/>
      <c r="O288" s="46" t="n"/>
      <c r="P288" s="47" t="n"/>
      <c r="Q288" s="47" t="n"/>
      <c r="R288" s="48" t="n"/>
    </row>
    <row r="289" ht="14.25" customHeight="1" s="96">
      <c r="B289" s="44" t="n"/>
      <c r="C289" s="78" t="n"/>
      <c r="D289" s="46" t="n"/>
      <c r="E289" s="46" t="n"/>
      <c r="F289" s="46" t="n"/>
      <c r="G289" s="45" t="n"/>
      <c r="I289" s="44" t="n"/>
      <c r="J289" s="46" t="n"/>
      <c r="K289" s="46" t="n"/>
      <c r="L289" s="46" t="n"/>
      <c r="M289" s="46" t="n"/>
      <c r="N289" s="46" t="n"/>
      <c r="O289" s="46" t="n"/>
      <c r="P289" s="47" t="n"/>
      <c r="Q289" s="47" t="n"/>
      <c r="R289" s="48" t="n"/>
    </row>
    <row r="290" ht="14.25" customHeight="1" s="96">
      <c r="B290" s="44" t="n"/>
      <c r="C290" s="78" t="n"/>
      <c r="D290" s="46" t="n"/>
      <c r="E290" s="46" t="n"/>
      <c r="F290" s="46" t="n"/>
      <c r="G290" s="45" t="n"/>
      <c r="I290" s="44" t="n"/>
      <c r="J290" s="46" t="n"/>
      <c r="K290" s="46" t="n"/>
      <c r="L290" s="46" t="n"/>
      <c r="M290" s="46" t="n"/>
      <c r="N290" s="46" t="n"/>
      <c r="O290" s="46" t="n"/>
      <c r="P290" s="47" t="n"/>
      <c r="Q290" s="47" t="n"/>
      <c r="R290" s="48" t="n"/>
    </row>
    <row r="291" ht="14.25" customHeight="1" s="96">
      <c r="B291" s="44" t="n"/>
      <c r="C291" s="78" t="n"/>
      <c r="D291" s="46" t="n"/>
      <c r="E291" s="46" t="n"/>
      <c r="F291" s="46" t="n"/>
      <c r="G291" s="45" t="n"/>
      <c r="I291" s="44" t="n"/>
      <c r="J291" s="46" t="n"/>
      <c r="K291" s="46" t="n"/>
      <c r="L291" s="46" t="n"/>
      <c r="M291" s="46" t="n"/>
      <c r="N291" s="46" t="n"/>
      <c r="O291" s="46" t="n"/>
      <c r="P291" s="47" t="n"/>
      <c r="Q291" s="47" t="n"/>
      <c r="R291" s="48" t="n"/>
    </row>
    <row r="292" ht="14.25" customHeight="1" s="96">
      <c r="B292" s="44" t="n"/>
      <c r="C292" s="78" t="n"/>
      <c r="D292" s="46" t="n"/>
      <c r="E292" s="46" t="n"/>
      <c r="F292" s="46" t="n"/>
      <c r="G292" s="45" t="n"/>
      <c r="I292" s="44" t="n"/>
      <c r="J292" s="46" t="n"/>
      <c r="K292" s="46" t="n"/>
      <c r="L292" s="46" t="n"/>
      <c r="M292" s="46" t="n"/>
      <c r="N292" s="46" t="n"/>
      <c r="O292" s="46" t="n"/>
      <c r="P292" s="47" t="n"/>
      <c r="Q292" s="47" t="n"/>
      <c r="R292" s="48" t="n"/>
    </row>
    <row r="293" ht="14.25" customHeight="1" s="96">
      <c r="B293" s="44" t="n"/>
      <c r="C293" s="78" t="n"/>
      <c r="D293" s="46" t="n"/>
      <c r="E293" s="46" t="n"/>
      <c r="F293" s="46" t="n"/>
      <c r="G293" s="45" t="n"/>
      <c r="I293" s="44" t="n"/>
      <c r="J293" s="46" t="n"/>
      <c r="K293" s="46" t="n"/>
      <c r="L293" s="46" t="n"/>
      <c r="M293" s="46" t="n"/>
      <c r="N293" s="46" t="n"/>
      <c r="O293" s="46" t="n"/>
      <c r="P293" s="47" t="n"/>
      <c r="Q293" s="47" t="n"/>
      <c r="R293" s="48" t="n"/>
    </row>
    <row r="294" ht="14.25" customHeight="1" s="96">
      <c r="B294" s="44" t="n"/>
      <c r="C294" s="78" t="n"/>
      <c r="D294" s="46" t="n"/>
      <c r="E294" s="46" t="n"/>
      <c r="F294" s="46" t="n"/>
      <c r="G294" s="45" t="n"/>
      <c r="I294" s="44" t="n"/>
      <c r="J294" s="46" t="n"/>
      <c r="K294" s="46" t="n"/>
      <c r="L294" s="46" t="n"/>
      <c r="M294" s="46" t="n"/>
      <c r="N294" s="46" t="n"/>
      <c r="O294" s="46" t="n"/>
      <c r="P294" s="47" t="n"/>
      <c r="Q294" s="47" t="n"/>
      <c r="R294" s="48" t="n"/>
    </row>
    <row r="295" ht="14.25" customHeight="1" s="96">
      <c r="B295" s="44" t="n"/>
      <c r="C295" s="78" t="n"/>
      <c r="D295" s="46" t="n"/>
      <c r="E295" s="46" t="n"/>
      <c r="F295" s="46" t="n"/>
      <c r="G295" s="45" t="n"/>
      <c r="I295" s="44" t="n"/>
      <c r="J295" s="46" t="n"/>
      <c r="K295" s="46" t="n"/>
      <c r="L295" s="46" t="n"/>
      <c r="M295" s="46" t="n"/>
      <c r="N295" s="46" t="n"/>
      <c r="O295" s="46" t="n"/>
      <c r="P295" s="47" t="n"/>
      <c r="Q295" s="47" t="n"/>
      <c r="R295" s="48" t="n"/>
    </row>
    <row r="296" ht="14.25" customHeight="1" s="96">
      <c r="B296" s="44" t="n"/>
      <c r="C296" s="78" t="n"/>
      <c r="D296" s="46" t="n"/>
      <c r="E296" s="46" t="n"/>
      <c r="F296" s="46" t="n"/>
      <c r="G296" s="45" t="n"/>
      <c r="I296" s="44" t="n"/>
      <c r="J296" s="46" t="n"/>
      <c r="K296" s="46" t="n"/>
      <c r="L296" s="46" t="n"/>
      <c r="M296" s="46" t="n"/>
      <c r="N296" s="46" t="n"/>
      <c r="O296" s="46" t="n"/>
      <c r="P296" s="47" t="n"/>
      <c r="Q296" s="47" t="n"/>
      <c r="R296" s="48" t="n"/>
    </row>
    <row r="297" ht="14.25" customHeight="1" s="96">
      <c r="B297" s="44" t="n"/>
      <c r="C297" s="78" t="n"/>
      <c r="D297" s="46" t="n"/>
      <c r="E297" s="46" t="n"/>
      <c r="F297" s="46" t="n"/>
      <c r="G297" s="45" t="n"/>
      <c r="I297" s="44" t="n"/>
      <c r="J297" s="46" t="n"/>
      <c r="K297" s="46" t="n"/>
      <c r="L297" s="46" t="n"/>
      <c r="M297" s="46" t="n"/>
      <c r="N297" s="46" t="n"/>
      <c r="O297" s="46" t="n"/>
      <c r="P297" s="47" t="n"/>
      <c r="Q297" s="47" t="n"/>
      <c r="R297" s="48" t="n"/>
    </row>
    <row r="298" ht="14.25" customHeight="1" s="96">
      <c r="B298" s="44" t="n"/>
      <c r="C298" s="78" t="n"/>
      <c r="D298" s="46" t="n"/>
      <c r="E298" s="46" t="n"/>
      <c r="F298" s="46" t="n"/>
      <c r="G298" s="45" t="n"/>
      <c r="I298" s="44" t="n"/>
      <c r="J298" s="46" t="n"/>
      <c r="K298" s="46" t="n"/>
      <c r="L298" s="46" t="n"/>
      <c r="M298" s="46" t="n"/>
      <c r="N298" s="46" t="n"/>
      <c r="O298" s="46" t="n"/>
      <c r="P298" s="47" t="n"/>
      <c r="Q298" s="47" t="n"/>
      <c r="R298" s="48" t="n"/>
    </row>
    <row r="299" ht="14.25" customHeight="1" s="96">
      <c r="B299" s="44" t="n"/>
      <c r="C299" s="78" t="n"/>
      <c r="D299" s="46" t="n"/>
      <c r="E299" s="46" t="n"/>
      <c r="F299" s="46" t="n"/>
      <c r="G299" s="45" t="n"/>
      <c r="I299" s="44" t="n"/>
      <c r="J299" s="46" t="n"/>
      <c r="K299" s="46" t="n"/>
      <c r="L299" s="46" t="n"/>
      <c r="M299" s="46" t="n"/>
      <c r="N299" s="46" t="n"/>
      <c r="O299" s="46" t="n"/>
      <c r="P299" s="47" t="n"/>
      <c r="Q299" s="47" t="n"/>
      <c r="R299" s="48" t="n"/>
    </row>
    <row r="300" ht="14.25" customHeight="1" s="96">
      <c r="B300" s="44" t="n"/>
      <c r="C300" s="78" t="n"/>
      <c r="D300" s="46" t="n"/>
      <c r="E300" s="46" t="n"/>
      <c r="F300" s="46" t="n"/>
      <c r="G300" s="45" t="n"/>
      <c r="I300" s="44" t="n"/>
      <c r="J300" s="46" t="n"/>
      <c r="K300" s="46" t="n"/>
      <c r="L300" s="46" t="n"/>
      <c r="M300" s="46" t="n"/>
      <c r="N300" s="46" t="n"/>
      <c r="O300" s="46" t="n"/>
      <c r="P300" s="47" t="n"/>
      <c r="Q300" s="47" t="n"/>
      <c r="R300" s="48" t="n"/>
    </row>
    <row r="301" ht="14.25" customHeight="1" s="96">
      <c r="B301" s="44" t="n"/>
      <c r="C301" s="78" t="n"/>
      <c r="D301" s="46" t="n"/>
      <c r="E301" s="46" t="n"/>
      <c r="F301" s="46" t="n"/>
      <c r="G301" s="45" t="n"/>
      <c r="I301" s="44" t="n"/>
      <c r="J301" s="46" t="n"/>
      <c r="K301" s="46" t="n"/>
      <c r="L301" s="46" t="n"/>
      <c r="M301" s="46" t="n"/>
      <c r="N301" s="46" t="n"/>
      <c r="O301" s="46" t="n"/>
      <c r="P301" s="47" t="n"/>
      <c r="Q301" s="47" t="n"/>
      <c r="R301" s="48" t="n"/>
    </row>
    <row r="302" ht="14.25" customHeight="1" s="96">
      <c r="B302" s="44" t="n"/>
      <c r="C302" s="78" t="n"/>
      <c r="D302" s="46" t="n"/>
      <c r="E302" s="46" t="n"/>
      <c r="F302" s="46" t="n"/>
      <c r="G302" s="45" t="n"/>
      <c r="I302" s="44" t="n"/>
      <c r="J302" s="46" t="n"/>
      <c r="K302" s="46" t="n"/>
      <c r="L302" s="46" t="n"/>
      <c r="M302" s="46" t="n"/>
      <c r="N302" s="46" t="n"/>
      <c r="O302" s="46" t="n"/>
      <c r="P302" s="47" t="n"/>
      <c r="Q302" s="47" t="n"/>
      <c r="R302" s="48" t="n"/>
    </row>
    <row r="303" ht="14.25" customHeight="1" s="96">
      <c r="B303" s="44" t="n"/>
      <c r="C303" s="78" t="n"/>
      <c r="D303" s="46" t="n"/>
      <c r="E303" s="46" t="n"/>
      <c r="F303" s="46" t="n"/>
      <c r="G303" s="45" t="n"/>
      <c r="I303" s="44" t="n"/>
      <c r="J303" s="46" t="n"/>
      <c r="K303" s="46" t="n"/>
      <c r="L303" s="46" t="n"/>
      <c r="M303" s="46" t="n"/>
      <c r="N303" s="46" t="n"/>
      <c r="O303" s="46" t="n"/>
      <c r="P303" s="47" t="n"/>
      <c r="Q303" s="47" t="n"/>
      <c r="R303" s="48" t="n"/>
    </row>
    <row r="304" ht="14.25" customHeight="1" s="96">
      <c r="B304" s="44" t="n"/>
      <c r="C304" s="78" t="n"/>
      <c r="D304" s="46" t="n"/>
      <c r="E304" s="46" t="n"/>
      <c r="F304" s="46" t="n"/>
      <c r="G304" s="45" t="n"/>
      <c r="I304" s="44" t="n"/>
      <c r="J304" s="46" t="n"/>
      <c r="K304" s="46" t="n"/>
      <c r="L304" s="46" t="n"/>
      <c r="M304" s="46" t="n"/>
      <c r="N304" s="46" t="n"/>
      <c r="O304" s="46" t="n"/>
      <c r="P304" s="47" t="n"/>
      <c r="Q304" s="47" t="n"/>
      <c r="R304" s="48" t="n"/>
    </row>
    <row r="305" ht="14.25" customHeight="1" s="96">
      <c r="B305" s="44" t="n"/>
      <c r="C305" s="78" t="n"/>
      <c r="D305" s="46" t="n"/>
      <c r="E305" s="46" t="n"/>
      <c r="F305" s="46" t="n"/>
      <c r="G305" s="45" t="n"/>
      <c r="I305" s="44" t="n"/>
      <c r="J305" s="46" t="n"/>
      <c r="K305" s="46" t="n"/>
      <c r="L305" s="46" t="n"/>
      <c r="M305" s="46" t="n"/>
      <c r="N305" s="46" t="n"/>
      <c r="O305" s="46" t="n"/>
      <c r="P305" s="47" t="n"/>
      <c r="Q305" s="47" t="n"/>
      <c r="R305" s="48" t="n"/>
    </row>
    <row r="306" ht="14.25" customHeight="1" s="96">
      <c r="B306" s="44" t="n"/>
      <c r="C306" s="78" t="n"/>
      <c r="D306" s="46" t="n"/>
      <c r="E306" s="46" t="n"/>
      <c r="F306" s="46" t="n"/>
      <c r="G306" s="45" t="n"/>
      <c r="I306" s="44" t="n"/>
      <c r="J306" s="46" t="n"/>
      <c r="K306" s="46" t="n"/>
      <c r="L306" s="46" t="n"/>
      <c r="M306" s="46" t="n"/>
      <c r="N306" s="46" t="n"/>
      <c r="O306" s="46" t="n"/>
      <c r="P306" s="47" t="n"/>
      <c r="Q306" s="47" t="n"/>
      <c r="R306" s="48" t="n"/>
    </row>
    <row r="307" ht="14.25" customHeight="1" s="96">
      <c r="B307" s="44" t="n"/>
      <c r="C307" s="78" t="n"/>
      <c r="D307" s="46" t="n"/>
      <c r="E307" s="46" t="n"/>
      <c r="F307" s="46" t="n"/>
      <c r="G307" s="45" t="n"/>
      <c r="I307" s="44" t="n"/>
      <c r="J307" s="46" t="n"/>
      <c r="K307" s="46" t="n"/>
      <c r="L307" s="46" t="n"/>
      <c r="M307" s="46" t="n"/>
      <c r="N307" s="46" t="n"/>
      <c r="O307" s="46" t="n"/>
      <c r="P307" s="47" t="n"/>
      <c r="Q307" s="47" t="n"/>
      <c r="R307" s="48" t="n"/>
    </row>
    <row r="308" ht="14.25" customHeight="1" s="96">
      <c r="B308" s="44" t="n"/>
      <c r="C308" s="78" t="n"/>
      <c r="D308" s="46" t="n"/>
      <c r="E308" s="46" t="n"/>
      <c r="F308" s="46" t="n"/>
      <c r="G308" s="45" t="n"/>
      <c r="I308" s="44" t="n"/>
      <c r="J308" s="46" t="n"/>
      <c r="K308" s="46" t="n"/>
      <c r="L308" s="46" t="n"/>
      <c r="M308" s="46" t="n"/>
      <c r="N308" s="46" t="n"/>
      <c r="O308" s="46" t="n"/>
      <c r="P308" s="47" t="n"/>
      <c r="Q308" s="47" t="n"/>
      <c r="R308" s="48" t="n"/>
    </row>
    <row r="309" ht="14.25" customHeight="1" s="96">
      <c r="B309" s="44" t="n"/>
      <c r="C309" s="78" t="n"/>
      <c r="D309" s="46" t="n"/>
      <c r="E309" s="46" t="n"/>
      <c r="F309" s="46" t="n"/>
      <c r="G309" s="45" t="n"/>
      <c r="I309" s="44" t="n"/>
      <c r="J309" s="46" t="n"/>
      <c r="K309" s="46" t="n"/>
      <c r="L309" s="46" t="n"/>
      <c r="M309" s="46" t="n"/>
      <c r="N309" s="46" t="n"/>
      <c r="O309" s="46" t="n"/>
      <c r="P309" s="47" t="n"/>
      <c r="Q309" s="47" t="n"/>
      <c r="R309" s="48" t="n"/>
    </row>
    <row r="310" ht="14.25" customHeight="1" s="96">
      <c r="B310" s="44" t="n"/>
      <c r="C310" s="78" t="n"/>
      <c r="D310" s="46" t="n"/>
      <c r="E310" s="46" t="n"/>
      <c r="F310" s="46" t="n"/>
      <c r="G310" s="45" t="n"/>
      <c r="I310" s="44" t="n"/>
      <c r="J310" s="46" t="n"/>
      <c r="K310" s="46" t="n"/>
      <c r="L310" s="46" t="n"/>
      <c r="M310" s="46" t="n"/>
      <c r="N310" s="46" t="n"/>
      <c r="O310" s="46" t="n"/>
      <c r="P310" s="47" t="n"/>
      <c r="Q310" s="47" t="n"/>
      <c r="R310" s="48" t="n"/>
    </row>
    <row r="311" ht="14.25" customHeight="1" s="96">
      <c r="B311" s="44" t="n"/>
      <c r="C311" s="78" t="n"/>
      <c r="D311" s="46" t="n"/>
      <c r="E311" s="46" t="n"/>
      <c r="F311" s="46" t="n"/>
      <c r="G311" s="45" t="n"/>
      <c r="I311" s="44" t="n"/>
      <c r="J311" s="46" t="n"/>
      <c r="K311" s="46" t="n"/>
      <c r="L311" s="46" t="n"/>
      <c r="M311" s="46" t="n"/>
      <c r="N311" s="46" t="n"/>
      <c r="O311" s="46" t="n"/>
      <c r="P311" s="47" t="n"/>
      <c r="Q311" s="47" t="n"/>
      <c r="R311" s="48" t="n"/>
    </row>
    <row r="312" ht="14.25" customHeight="1" s="96">
      <c r="B312" s="44" t="n"/>
      <c r="C312" s="78" t="n"/>
      <c r="D312" s="46" t="n"/>
      <c r="E312" s="46" t="n"/>
      <c r="F312" s="46" t="n"/>
      <c r="G312" s="45" t="n"/>
      <c r="I312" s="44" t="n"/>
      <c r="J312" s="46" t="n"/>
      <c r="K312" s="46" t="n"/>
      <c r="L312" s="46" t="n"/>
      <c r="M312" s="46" t="n"/>
      <c r="N312" s="46" t="n"/>
      <c r="O312" s="46" t="n"/>
      <c r="P312" s="47" t="n"/>
      <c r="Q312" s="47" t="n"/>
      <c r="R312" s="48" t="n"/>
    </row>
    <row r="313" ht="14.25" customHeight="1" s="96">
      <c r="B313" s="44" t="n"/>
      <c r="C313" s="78" t="n"/>
      <c r="D313" s="46" t="n"/>
      <c r="E313" s="46" t="n"/>
      <c r="F313" s="46" t="n"/>
      <c r="G313" s="45" t="n"/>
      <c r="I313" s="44" t="n"/>
      <c r="J313" s="46" t="n"/>
      <c r="K313" s="46" t="n"/>
      <c r="L313" s="46" t="n"/>
      <c r="M313" s="46" t="n"/>
      <c r="N313" s="46" t="n"/>
      <c r="O313" s="46" t="n"/>
      <c r="P313" s="47" t="n"/>
      <c r="Q313" s="47" t="n"/>
      <c r="R313" s="48" t="n"/>
    </row>
    <row r="314" ht="14.25" customHeight="1" s="96">
      <c r="B314" s="44" t="n"/>
      <c r="C314" s="78" t="n"/>
      <c r="D314" s="46" t="n"/>
      <c r="E314" s="46" t="n"/>
      <c r="F314" s="46" t="n"/>
      <c r="G314" s="45" t="n"/>
      <c r="I314" s="44" t="n"/>
      <c r="J314" s="46" t="n"/>
      <c r="K314" s="46" t="n"/>
      <c r="L314" s="46" t="n"/>
      <c r="M314" s="46" t="n"/>
      <c r="N314" s="46" t="n"/>
      <c r="O314" s="46" t="n"/>
      <c r="P314" s="47" t="n"/>
      <c r="Q314" s="47" t="n"/>
      <c r="R314" s="48" t="n"/>
    </row>
    <row r="315" ht="14.25" customHeight="1" s="96">
      <c r="B315" s="44" t="n"/>
      <c r="C315" s="78" t="n"/>
      <c r="D315" s="46" t="n"/>
      <c r="E315" s="46" t="n"/>
      <c r="F315" s="46" t="n"/>
      <c r="G315" s="45" t="n"/>
      <c r="I315" s="44" t="n"/>
      <c r="J315" s="46" t="n"/>
      <c r="K315" s="46" t="n"/>
      <c r="L315" s="46" t="n"/>
      <c r="M315" s="46" t="n"/>
      <c r="N315" s="46" t="n"/>
      <c r="O315" s="46" t="n"/>
      <c r="P315" s="47" t="n"/>
      <c r="Q315" s="47" t="n"/>
      <c r="R315" s="48" t="n"/>
    </row>
    <row r="316" ht="14.25" customHeight="1" s="96">
      <c r="B316" s="44" t="n"/>
      <c r="C316" s="78" t="n"/>
      <c r="D316" s="46" t="n"/>
      <c r="E316" s="46" t="n"/>
      <c r="F316" s="46" t="n"/>
      <c r="G316" s="45" t="n"/>
      <c r="I316" s="44" t="n"/>
      <c r="J316" s="46" t="n"/>
      <c r="K316" s="46" t="n"/>
      <c r="L316" s="46" t="n"/>
      <c r="M316" s="46" t="n"/>
      <c r="N316" s="46" t="n"/>
      <c r="O316" s="46" t="n"/>
      <c r="P316" s="47" t="n"/>
      <c r="Q316" s="47" t="n"/>
      <c r="R316" s="48" t="n"/>
    </row>
    <row r="317" ht="14.25" customHeight="1" s="96">
      <c r="B317" s="44" t="n"/>
      <c r="C317" s="78" t="n"/>
      <c r="D317" s="46" t="n"/>
      <c r="E317" s="46" t="n"/>
      <c r="F317" s="46" t="n"/>
      <c r="G317" s="45" t="n"/>
      <c r="I317" s="44" t="n"/>
      <c r="J317" s="46" t="n"/>
      <c r="K317" s="46" t="n"/>
      <c r="L317" s="46" t="n"/>
      <c r="M317" s="46" t="n"/>
      <c r="N317" s="46" t="n"/>
      <c r="O317" s="46" t="n"/>
      <c r="P317" s="47" t="n"/>
      <c r="Q317" s="47" t="n"/>
      <c r="R317" s="48" t="n"/>
    </row>
    <row r="318" ht="14.25" customHeight="1" s="96">
      <c r="B318" s="44" t="n"/>
      <c r="C318" s="78" t="n"/>
      <c r="D318" s="46" t="n"/>
      <c r="E318" s="46" t="n"/>
      <c r="F318" s="46" t="n"/>
      <c r="G318" s="45" t="n"/>
      <c r="I318" s="44" t="n"/>
      <c r="J318" s="46" t="n"/>
      <c r="K318" s="46" t="n"/>
      <c r="L318" s="46" t="n"/>
      <c r="M318" s="46" t="n"/>
      <c r="N318" s="46" t="n"/>
      <c r="O318" s="46" t="n"/>
      <c r="P318" s="47" t="n"/>
      <c r="Q318" s="47" t="n"/>
      <c r="R318" s="48" t="n"/>
    </row>
    <row r="319" ht="14.25" customHeight="1" s="96">
      <c r="B319" s="44" t="n"/>
      <c r="C319" s="78" t="n"/>
      <c r="D319" s="46" t="n"/>
      <c r="E319" s="46" t="n"/>
      <c r="F319" s="46" t="n"/>
      <c r="G319" s="45" t="n"/>
      <c r="I319" s="44" t="n"/>
      <c r="J319" s="46" t="n"/>
      <c r="K319" s="46" t="n"/>
      <c r="L319" s="46" t="n"/>
      <c r="M319" s="46" t="n"/>
      <c r="N319" s="46" t="n"/>
      <c r="O319" s="46" t="n"/>
      <c r="P319" s="47" t="n"/>
      <c r="Q319" s="47" t="n"/>
      <c r="R319" s="48" t="n"/>
    </row>
    <row r="320" ht="14.25" customHeight="1" s="96">
      <c r="B320" s="44" t="n"/>
      <c r="C320" s="78" t="n"/>
      <c r="D320" s="46" t="n"/>
      <c r="E320" s="46" t="n"/>
      <c r="F320" s="46" t="n"/>
      <c r="G320" s="45" t="n"/>
      <c r="I320" s="44" t="n"/>
      <c r="J320" s="46" t="n"/>
      <c r="K320" s="46" t="n"/>
      <c r="L320" s="46" t="n"/>
      <c r="M320" s="46" t="n"/>
      <c r="N320" s="46" t="n"/>
      <c r="O320" s="46" t="n"/>
      <c r="P320" s="47" t="n"/>
      <c r="Q320" s="47" t="n"/>
      <c r="R320" s="48" t="n"/>
    </row>
    <row r="321" ht="14.25" customHeight="1" s="96">
      <c r="B321" s="44" t="n"/>
      <c r="C321" s="78" t="n"/>
      <c r="D321" s="46" t="n"/>
      <c r="E321" s="46" t="n"/>
      <c r="F321" s="46" t="n"/>
      <c r="G321" s="45" t="n"/>
      <c r="I321" s="44" t="n"/>
      <c r="J321" s="46" t="n"/>
      <c r="K321" s="46" t="n"/>
      <c r="L321" s="46" t="n"/>
      <c r="M321" s="46" t="n"/>
      <c r="N321" s="46" t="n"/>
      <c r="O321" s="46" t="n"/>
      <c r="P321" s="47" t="n"/>
      <c r="Q321" s="47" t="n"/>
      <c r="R321" s="48" t="n"/>
    </row>
    <row r="322" ht="14.25" customHeight="1" s="96">
      <c r="B322" s="44" t="n"/>
      <c r="C322" s="78" t="n"/>
      <c r="D322" s="46" t="n"/>
      <c r="E322" s="46" t="n"/>
      <c r="F322" s="46" t="n"/>
      <c r="G322" s="45" t="n"/>
      <c r="I322" s="44" t="n"/>
      <c r="J322" s="46" t="n"/>
      <c r="K322" s="46" t="n"/>
      <c r="L322" s="46" t="n"/>
      <c r="M322" s="46" t="n"/>
      <c r="N322" s="46" t="n"/>
      <c r="O322" s="46" t="n"/>
      <c r="P322" s="47" t="n"/>
      <c r="Q322" s="47" t="n"/>
      <c r="R322" s="48" t="n"/>
    </row>
    <row r="323" ht="14.25" customHeight="1" s="96">
      <c r="B323" s="44" t="n"/>
      <c r="C323" s="78" t="n"/>
      <c r="D323" s="46" t="n"/>
      <c r="E323" s="46" t="n"/>
      <c r="F323" s="46" t="n"/>
      <c r="G323" s="45" t="n"/>
      <c r="I323" s="44" t="n"/>
      <c r="J323" s="46" t="n"/>
      <c r="K323" s="46" t="n"/>
      <c r="L323" s="46" t="n"/>
      <c r="M323" s="46" t="n"/>
      <c r="N323" s="46" t="n"/>
      <c r="O323" s="46" t="n"/>
      <c r="P323" s="47" t="n"/>
      <c r="Q323" s="47" t="n"/>
      <c r="R323" s="48" t="n"/>
    </row>
    <row r="324" ht="14.25" customHeight="1" s="96">
      <c r="B324" s="44" t="n"/>
      <c r="C324" s="78" t="n"/>
      <c r="D324" s="46" t="n"/>
      <c r="E324" s="46" t="n"/>
      <c r="F324" s="46" t="n"/>
      <c r="G324" s="45" t="n"/>
      <c r="I324" s="44" t="n"/>
      <c r="J324" s="46" t="n"/>
      <c r="K324" s="46" t="n"/>
      <c r="L324" s="46" t="n"/>
      <c r="M324" s="46" t="n"/>
      <c r="N324" s="46" t="n"/>
      <c r="O324" s="46" t="n"/>
      <c r="P324" s="47" t="n"/>
      <c r="Q324" s="47" t="n"/>
      <c r="R324" s="48" t="n"/>
    </row>
    <row r="325" ht="14.25" customHeight="1" s="96">
      <c r="B325" s="44" t="n"/>
      <c r="C325" s="78" t="n"/>
      <c r="D325" s="46" t="n"/>
      <c r="E325" s="46" t="n"/>
      <c r="F325" s="46" t="n"/>
      <c r="G325" s="45" t="n"/>
      <c r="I325" s="44" t="n"/>
      <c r="J325" s="46" t="n"/>
      <c r="K325" s="46" t="n"/>
      <c r="L325" s="46" t="n"/>
      <c r="M325" s="46" t="n"/>
      <c r="N325" s="46" t="n"/>
      <c r="O325" s="46" t="n"/>
      <c r="P325" s="47" t="n"/>
      <c r="Q325" s="47" t="n"/>
      <c r="R325" s="48" t="n"/>
    </row>
    <row r="326" ht="14.25" customHeight="1" s="96">
      <c r="B326" s="44" t="n"/>
      <c r="C326" s="78" t="n"/>
      <c r="D326" s="46" t="n"/>
      <c r="E326" s="46" t="n"/>
      <c r="F326" s="46" t="n"/>
      <c r="G326" s="45" t="n"/>
      <c r="I326" s="44" t="n"/>
      <c r="J326" s="46" t="n"/>
      <c r="K326" s="46" t="n"/>
      <c r="L326" s="46" t="n"/>
      <c r="M326" s="46" t="n"/>
      <c r="N326" s="46" t="n"/>
      <c r="O326" s="46" t="n"/>
      <c r="P326" s="47" t="n"/>
      <c r="Q326" s="47" t="n"/>
      <c r="R326" s="48" t="n"/>
    </row>
    <row r="327" ht="14.25" customHeight="1" s="96">
      <c r="B327" s="44" t="n"/>
      <c r="C327" s="78" t="n"/>
      <c r="D327" s="46" t="n"/>
      <c r="E327" s="46" t="n"/>
      <c r="F327" s="46" t="n"/>
      <c r="G327" s="45" t="n"/>
      <c r="I327" s="44" t="n"/>
      <c r="J327" s="46" t="n"/>
      <c r="K327" s="46" t="n"/>
      <c r="L327" s="46" t="n"/>
      <c r="M327" s="46" t="n"/>
      <c r="N327" s="46" t="n"/>
      <c r="O327" s="46" t="n"/>
      <c r="P327" s="47" t="n"/>
      <c r="Q327" s="47" t="n"/>
      <c r="R327" s="48" t="n"/>
    </row>
    <row r="328" ht="14.25" customHeight="1" s="96">
      <c r="B328" s="44" t="n"/>
      <c r="C328" s="78" t="n"/>
      <c r="D328" s="46" t="n"/>
      <c r="E328" s="46" t="n"/>
      <c r="F328" s="46" t="n"/>
      <c r="G328" s="45" t="n"/>
      <c r="I328" s="44" t="n"/>
      <c r="J328" s="46" t="n"/>
      <c r="K328" s="46" t="n"/>
      <c r="L328" s="46" t="n"/>
      <c r="M328" s="46" t="n"/>
      <c r="N328" s="46" t="n"/>
      <c r="O328" s="46" t="n"/>
      <c r="P328" s="47" t="n"/>
      <c r="Q328" s="47" t="n"/>
      <c r="R328" s="48" t="n"/>
    </row>
    <row r="329" ht="14.25" customHeight="1" s="96">
      <c r="B329" s="44" t="n"/>
      <c r="C329" s="78" t="n"/>
      <c r="D329" s="46" t="n"/>
      <c r="E329" s="46" t="n"/>
      <c r="F329" s="46" t="n"/>
      <c r="G329" s="45" t="n"/>
      <c r="I329" s="44" t="n"/>
      <c r="J329" s="46" t="n"/>
      <c r="K329" s="46" t="n"/>
      <c r="L329" s="46" t="n"/>
      <c r="M329" s="46" t="n"/>
      <c r="N329" s="46" t="n"/>
      <c r="O329" s="46" t="n"/>
      <c r="P329" s="47" t="n"/>
      <c r="Q329" s="47" t="n"/>
      <c r="R329" s="48" t="n"/>
    </row>
    <row r="330" ht="14.25" customHeight="1" s="96">
      <c r="B330" s="44" t="n"/>
      <c r="C330" s="78" t="n"/>
      <c r="D330" s="46" t="n"/>
      <c r="E330" s="46" t="n"/>
      <c r="F330" s="46" t="n"/>
      <c r="G330" s="45" t="n"/>
      <c r="I330" s="44" t="n"/>
      <c r="J330" s="46" t="n"/>
      <c r="K330" s="46" t="n"/>
      <c r="L330" s="46" t="n"/>
      <c r="M330" s="46" t="n"/>
      <c r="N330" s="46" t="n"/>
      <c r="O330" s="46" t="n"/>
      <c r="P330" s="47" t="n"/>
      <c r="Q330" s="47" t="n"/>
      <c r="R330" s="48" t="n"/>
    </row>
    <row r="331" ht="14.25" customHeight="1" s="96">
      <c r="B331" s="44" t="n"/>
      <c r="C331" s="78" t="n"/>
      <c r="D331" s="46" t="n"/>
      <c r="E331" s="46" t="n"/>
      <c r="F331" s="46" t="n"/>
      <c r="G331" s="45" t="n"/>
      <c r="I331" s="44" t="n"/>
      <c r="J331" s="46" t="n"/>
      <c r="K331" s="46" t="n"/>
      <c r="L331" s="46" t="n"/>
      <c r="M331" s="46" t="n"/>
      <c r="N331" s="46" t="n"/>
      <c r="O331" s="46" t="n"/>
      <c r="P331" s="47" t="n"/>
      <c r="Q331" s="47" t="n"/>
      <c r="R331" s="48" t="n"/>
    </row>
    <row r="332" ht="14.25" customHeight="1" s="96">
      <c r="B332" s="44" t="n"/>
      <c r="C332" s="78" t="n"/>
      <c r="D332" s="46" t="n"/>
      <c r="E332" s="46" t="n"/>
      <c r="F332" s="46" t="n"/>
      <c r="G332" s="45" t="n"/>
      <c r="I332" s="44" t="n"/>
      <c r="J332" s="46" t="n"/>
      <c r="K332" s="46" t="n"/>
      <c r="L332" s="46" t="n"/>
      <c r="M332" s="46" t="n"/>
      <c r="N332" s="46" t="n"/>
      <c r="O332" s="46" t="n"/>
      <c r="P332" s="47" t="n"/>
      <c r="Q332" s="47" t="n"/>
      <c r="R332" s="48" t="n"/>
    </row>
    <row r="333" ht="14.25" customHeight="1" s="96">
      <c r="B333" s="44" t="n"/>
      <c r="C333" s="78" t="n"/>
      <c r="D333" s="46" t="n"/>
      <c r="E333" s="46" t="n"/>
      <c r="F333" s="46" t="n"/>
      <c r="G333" s="45" t="n"/>
      <c r="I333" s="44" t="n"/>
      <c r="J333" s="46" t="n"/>
      <c r="K333" s="46" t="n"/>
      <c r="L333" s="46" t="n"/>
      <c r="M333" s="46" t="n"/>
      <c r="N333" s="46" t="n"/>
      <c r="O333" s="46" t="n"/>
      <c r="P333" s="47" t="n"/>
      <c r="Q333" s="47" t="n"/>
      <c r="R333" s="48" t="n"/>
    </row>
    <row r="334" ht="14.25" customHeight="1" s="96">
      <c r="B334" s="44" t="n"/>
      <c r="C334" s="78" t="n"/>
      <c r="D334" s="46" t="n"/>
      <c r="E334" s="46" t="n"/>
      <c r="F334" s="46" t="n"/>
      <c r="G334" s="45" t="n"/>
      <c r="I334" s="44" t="n"/>
      <c r="J334" s="46" t="n"/>
      <c r="K334" s="46" t="n"/>
      <c r="L334" s="46" t="n"/>
      <c r="M334" s="46" t="n"/>
      <c r="N334" s="46" t="n"/>
      <c r="O334" s="46" t="n"/>
      <c r="P334" s="47" t="n"/>
      <c r="Q334" s="47" t="n"/>
      <c r="R334" s="48" t="n"/>
    </row>
    <row r="335" ht="14.25" customHeight="1" s="96">
      <c r="B335" s="44" t="n"/>
      <c r="C335" s="78" t="n"/>
      <c r="D335" s="46" t="n"/>
      <c r="E335" s="46" t="n"/>
      <c r="F335" s="46" t="n"/>
      <c r="G335" s="45" t="n"/>
      <c r="I335" s="44" t="n"/>
      <c r="J335" s="46" t="n"/>
      <c r="K335" s="46" t="n"/>
      <c r="L335" s="46" t="n"/>
      <c r="M335" s="46" t="n"/>
      <c r="N335" s="46" t="n"/>
      <c r="O335" s="46" t="n"/>
      <c r="P335" s="47" t="n"/>
      <c r="Q335" s="47" t="n"/>
      <c r="R335" s="48" t="n"/>
    </row>
    <row r="336" ht="14.25" customHeight="1" s="96">
      <c r="B336" s="44" t="n"/>
      <c r="C336" s="78" t="n"/>
      <c r="D336" s="46" t="n"/>
      <c r="E336" s="46" t="n"/>
      <c r="F336" s="46" t="n"/>
      <c r="G336" s="45" t="n"/>
      <c r="I336" s="44" t="n"/>
      <c r="J336" s="46" t="n"/>
      <c r="K336" s="46" t="n"/>
      <c r="L336" s="46" t="n"/>
      <c r="M336" s="46" t="n"/>
      <c r="N336" s="46" t="n"/>
      <c r="O336" s="46" t="n"/>
      <c r="P336" s="47" t="n"/>
      <c r="Q336" s="47" t="n"/>
      <c r="R336" s="48" t="n"/>
    </row>
    <row r="337" ht="14.25" customHeight="1" s="96">
      <c r="B337" s="44" t="n"/>
      <c r="C337" s="78" t="n"/>
      <c r="D337" s="46" t="n"/>
      <c r="E337" s="46" t="n"/>
      <c r="F337" s="46" t="n"/>
      <c r="G337" s="45" t="n"/>
      <c r="I337" s="44" t="n"/>
      <c r="J337" s="46" t="n"/>
      <c r="K337" s="46" t="n"/>
      <c r="L337" s="46" t="n"/>
      <c r="M337" s="46" t="n"/>
      <c r="N337" s="46" t="n"/>
      <c r="O337" s="46" t="n"/>
      <c r="P337" s="47" t="n"/>
      <c r="Q337" s="47" t="n"/>
      <c r="R337" s="48" t="n"/>
    </row>
    <row r="338" ht="14.25" customHeight="1" s="96">
      <c r="B338" s="44" t="n"/>
      <c r="C338" s="78" t="n"/>
      <c r="D338" s="46" t="n"/>
      <c r="E338" s="46" t="n"/>
      <c r="F338" s="46" t="n"/>
      <c r="G338" s="45" t="n"/>
      <c r="I338" s="44" t="n"/>
      <c r="J338" s="46" t="n"/>
      <c r="K338" s="46" t="n"/>
      <c r="L338" s="46" t="n"/>
      <c r="M338" s="46" t="n"/>
      <c r="N338" s="46" t="n"/>
      <c r="O338" s="46" t="n"/>
      <c r="P338" s="47" t="n"/>
      <c r="Q338" s="47" t="n"/>
      <c r="R338" s="48" t="n"/>
    </row>
    <row r="339" ht="14.25" customHeight="1" s="96">
      <c r="B339" s="44" t="n"/>
      <c r="C339" s="78" t="n"/>
      <c r="D339" s="46" t="n"/>
      <c r="E339" s="46" t="n"/>
      <c r="F339" s="46" t="n"/>
      <c r="G339" s="45" t="n"/>
      <c r="I339" s="44" t="n"/>
      <c r="J339" s="46" t="n"/>
      <c r="K339" s="46" t="n"/>
      <c r="L339" s="46" t="n"/>
      <c r="M339" s="46" t="n"/>
      <c r="N339" s="46" t="n"/>
      <c r="O339" s="46" t="n"/>
      <c r="P339" s="47" t="n"/>
      <c r="Q339" s="47" t="n"/>
      <c r="R339" s="48" t="n"/>
    </row>
    <row r="340" ht="14.25" customHeight="1" s="96">
      <c r="B340" s="44" t="n"/>
      <c r="C340" s="78" t="n"/>
      <c r="D340" s="46" t="n"/>
      <c r="E340" s="46" t="n"/>
      <c r="F340" s="46" t="n"/>
      <c r="G340" s="45" t="n"/>
      <c r="I340" s="44" t="n"/>
      <c r="J340" s="46" t="n"/>
      <c r="K340" s="46" t="n"/>
      <c r="L340" s="46" t="n"/>
      <c r="M340" s="46" t="n"/>
      <c r="N340" s="46" t="n"/>
      <c r="O340" s="46" t="n"/>
      <c r="P340" s="47" t="n"/>
      <c r="Q340" s="47" t="n"/>
      <c r="R340" s="48" t="n"/>
    </row>
    <row r="341" ht="14.25" customHeight="1" s="96">
      <c r="B341" s="44" t="n"/>
      <c r="C341" s="78" t="n"/>
      <c r="D341" s="46" t="n"/>
      <c r="E341" s="46" t="n"/>
      <c r="F341" s="46" t="n"/>
      <c r="G341" s="45" t="n"/>
      <c r="I341" s="44" t="n"/>
      <c r="J341" s="46" t="n"/>
      <c r="K341" s="46" t="n"/>
      <c r="L341" s="46" t="n"/>
      <c r="M341" s="46" t="n"/>
      <c r="N341" s="46" t="n"/>
      <c r="O341" s="46" t="n"/>
      <c r="P341" s="47" t="n"/>
      <c r="Q341" s="47" t="n"/>
      <c r="R341" s="48" t="n"/>
    </row>
    <row r="342" ht="14.25" customHeight="1" s="96">
      <c r="B342" s="44" t="n"/>
      <c r="C342" s="78" t="n"/>
      <c r="D342" s="46" t="n"/>
      <c r="E342" s="46" t="n"/>
      <c r="F342" s="46" t="n"/>
      <c r="G342" s="45" t="n"/>
      <c r="I342" s="44" t="n"/>
      <c r="J342" s="46" t="n"/>
      <c r="K342" s="46" t="n"/>
      <c r="L342" s="46" t="n"/>
      <c r="M342" s="46" t="n"/>
      <c r="N342" s="46" t="n"/>
      <c r="O342" s="46" t="n"/>
      <c r="P342" s="47" t="n"/>
      <c r="Q342" s="47" t="n"/>
      <c r="R342" s="48" t="n"/>
    </row>
    <row r="343" ht="14.25" customHeight="1" s="96">
      <c r="B343" s="44" t="n"/>
      <c r="C343" s="78" t="n"/>
      <c r="D343" s="46" t="n"/>
      <c r="E343" s="46" t="n"/>
      <c r="F343" s="46" t="n"/>
      <c r="G343" s="45" t="n"/>
      <c r="I343" s="44" t="n"/>
      <c r="J343" s="46" t="n"/>
      <c r="K343" s="46" t="n"/>
      <c r="L343" s="46" t="n"/>
      <c r="M343" s="46" t="n"/>
      <c r="N343" s="46" t="n"/>
      <c r="O343" s="46" t="n"/>
      <c r="P343" s="47" t="n"/>
      <c r="Q343" s="47" t="n"/>
      <c r="R343" s="48" t="n"/>
    </row>
    <row r="344" ht="14.25" customHeight="1" s="96">
      <c r="B344" s="44" t="n"/>
      <c r="C344" s="78" t="n"/>
      <c r="D344" s="46" t="n"/>
      <c r="E344" s="46" t="n"/>
      <c r="F344" s="46" t="n"/>
      <c r="G344" s="45" t="n"/>
      <c r="I344" s="44" t="n"/>
      <c r="J344" s="46" t="n"/>
      <c r="K344" s="46" t="n"/>
      <c r="L344" s="46" t="n"/>
      <c r="M344" s="46" t="n"/>
      <c r="N344" s="46" t="n"/>
      <c r="O344" s="46" t="n"/>
      <c r="P344" s="47" t="n"/>
      <c r="Q344" s="47" t="n"/>
      <c r="R344" s="48" t="n"/>
    </row>
    <row r="345" ht="14.25" customHeight="1" s="96">
      <c r="B345" s="44" t="n"/>
      <c r="C345" s="78" t="n"/>
      <c r="D345" s="46" t="n"/>
      <c r="E345" s="46" t="n"/>
      <c r="F345" s="46" t="n"/>
      <c r="G345" s="45" t="n"/>
      <c r="I345" s="44" t="n"/>
      <c r="J345" s="46" t="n"/>
      <c r="K345" s="46" t="n"/>
      <c r="L345" s="46" t="n"/>
      <c r="M345" s="46" t="n"/>
      <c r="N345" s="46" t="n"/>
      <c r="O345" s="46" t="n"/>
      <c r="P345" s="47" t="n"/>
      <c r="Q345" s="47" t="n"/>
      <c r="R345" s="48" t="n"/>
    </row>
    <row r="346" ht="14.25" customHeight="1" s="96">
      <c r="B346" s="87" t="n"/>
      <c r="C346" s="88" t="n"/>
      <c r="D346" s="89" t="n"/>
      <c r="E346" s="89" t="n"/>
      <c r="F346" s="89" t="n"/>
      <c r="G346" s="90" t="n"/>
      <c r="I346" s="87" t="n"/>
      <c r="J346" s="89" t="n"/>
      <c r="K346" s="89" t="n"/>
      <c r="L346" s="89" t="n"/>
      <c r="M346" s="89" t="n"/>
      <c r="N346" s="89" t="n"/>
      <c r="O346" s="89" t="n"/>
      <c r="P346" s="91" t="n"/>
      <c r="Q346" s="91" t="n"/>
      <c r="R346" s="92" t="n"/>
    </row>
    <row r="347" ht="14.25" customHeight="1" s="96">
      <c r="P347" s="3" t="n"/>
      <c r="Q347" s="3" t="n"/>
      <c r="R347" s="3" t="n"/>
    </row>
    <row r="348" ht="14.25" customHeight="1" s="96">
      <c r="P348" s="3" t="n"/>
      <c r="Q348" s="3" t="n"/>
      <c r="R348" s="3" t="n"/>
    </row>
    <row r="349" ht="14.25" customHeight="1" s="96">
      <c r="P349" s="3" t="n"/>
      <c r="Q349" s="3" t="n"/>
      <c r="R349" s="3" t="n"/>
    </row>
    <row r="350" ht="14.25" customHeight="1" s="96">
      <c r="P350" s="3" t="n"/>
      <c r="Q350" s="3" t="n"/>
      <c r="R350" s="3" t="n"/>
    </row>
    <row r="351" ht="14.25" customHeight="1" s="96">
      <c r="P351" s="3" t="n"/>
      <c r="Q351" s="3" t="n"/>
      <c r="R351" s="3" t="n"/>
    </row>
    <row r="352" ht="14.25" customHeight="1" s="96">
      <c r="P352" s="3" t="n"/>
      <c r="Q352" s="3" t="n"/>
      <c r="R352" s="3" t="n"/>
    </row>
    <row r="353" ht="14.25" customHeight="1" s="96">
      <c r="P353" s="3" t="n"/>
      <c r="Q353" s="3" t="n"/>
      <c r="R353" s="3" t="n"/>
    </row>
    <row r="354" ht="14.25" customHeight="1" s="96">
      <c r="P354" s="3" t="n"/>
      <c r="Q354" s="3" t="n"/>
      <c r="R354" s="3" t="n"/>
    </row>
    <row r="355" ht="14.25" customHeight="1" s="96">
      <c r="P355" s="3" t="n"/>
      <c r="Q355" s="3" t="n"/>
      <c r="R355" s="3" t="n"/>
    </row>
    <row r="356" ht="14.25" customHeight="1" s="96">
      <c r="P356" s="3" t="n"/>
      <c r="Q356" s="3" t="n"/>
      <c r="R356" s="3" t="n"/>
    </row>
    <row r="357" ht="14.25" customHeight="1" s="96">
      <c r="P357" s="3" t="n"/>
      <c r="Q357" s="3" t="n"/>
      <c r="R357" s="3" t="n"/>
    </row>
    <row r="358" ht="14.25" customHeight="1" s="96">
      <c r="P358" s="3" t="n"/>
      <c r="Q358" s="3" t="n"/>
      <c r="R358" s="3" t="n"/>
    </row>
    <row r="359" ht="14.25" customHeight="1" s="96">
      <c r="P359" s="3" t="n"/>
      <c r="Q359" s="3" t="n"/>
      <c r="R359" s="3" t="n"/>
    </row>
    <row r="360" ht="14.25" customHeight="1" s="96">
      <c r="P360" s="3" t="n"/>
      <c r="Q360" s="3" t="n"/>
      <c r="R360" s="3" t="n"/>
    </row>
    <row r="361" ht="14.25" customHeight="1" s="96">
      <c r="P361" s="3" t="n"/>
      <c r="Q361" s="3" t="n"/>
      <c r="R361" s="3" t="n"/>
    </row>
    <row r="362" ht="14.25" customHeight="1" s="96">
      <c r="P362" s="3" t="n"/>
      <c r="Q362" s="3" t="n"/>
      <c r="R362" s="3" t="n"/>
    </row>
    <row r="363" ht="14.25" customHeight="1" s="96">
      <c r="P363" s="3" t="n"/>
      <c r="Q363" s="3" t="n"/>
      <c r="R363" s="3" t="n"/>
    </row>
    <row r="364" ht="14.25" customHeight="1" s="96">
      <c r="P364" s="3" t="n"/>
      <c r="Q364" s="3" t="n"/>
      <c r="R364" s="3" t="n"/>
    </row>
    <row r="365" ht="14.25" customHeight="1" s="96">
      <c r="P365" s="3" t="n"/>
      <c r="Q365" s="3" t="n"/>
      <c r="R365" s="3" t="n"/>
    </row>
    <row r="366" ht="14.25" customHeight="1" s="96">
      <c r="P366" s="3" t="n"/>
      <c r="Q366" s="3" t="n"/>
      <c r="R366" s="3" t="n"/>
    </row>
    <row r="367" ht="14.25" customHeight="1" s="96">
      <c r="P367" s="3" t="n"/>
      <c r="Q367" s="3" t="n"/>
      <c r="R367" s="3" t="n"/>
    </row>
    <row r="368" ht="14.25" customHeight="1" s="96">
      <c r="P368" s="3" t="n"/>
      <c r="Q368" s="3" t="n"/>
      <c r="R368" s="3" t="n"/>
    </row>
    <row r="369" ht="14.25" customHeight="1" s="96">
      <c r="P369" s="3" t="n"/>
      <c r="Q369" s="3" t="n"/>
      <c r="R369" s="3" t="n"/>
    </row>
    <row r="370" ht="14.25" customHeight="1" s="96">
      <c r="P370" s="3" t="n"/>
      <c r="Q370" s="3" t="n"/>
      <c r="R370" s="3" t="n"/>
    </row>
    <row r="371" ht="14.25" customHeight="1" s="96">
      <c r="P371" s="3" t="n"/>
      <c r="Q371" s="3" t="n"/>
      <c r="R371" s="3" t="n"/>
    </row>
    <row r="372" ht="14.25" customHeight="1" s="96">
      <c r="P372" s="3" t="n"/>
      <c r="Q372" s="3" t="n"/>
      <c r="R372" s="3" t="n"/>
    </row>
    <row r="373" ht="14.25" customHeight="1" s="96">
      <c r="P373" s="3" t="n"/>
      <c r="Q373" s="3" t="n"/>
      <c r="R373" s="3" t="n"/>
    </row>
    <row r="374" ht="14.25" customHeight="1" s="96">
      <c r="P374" s="3" t="n"/>
      <c r="Q374" s="3" t="n"/>
      <c r="R374" s="3" t="n"/>
    </row>
    <row r="375" ht="14.25" customHeight="1" s="96">
      <c r="P375" s="3" t="n"/>
      <c r="Q375" s="3" t="n"/>
      <c r="R375" s="3" t="n"/>
    </row>
    <row r="376" ht="14.25" customHeight="1" s="96">
      <c r="P376" s="3" t="n"/>
      <c r="Q376" s="3" t="n"/>
      <c r="R376" s="3" t="n"/>
    </row>
    <row r="377" ht="14.25" customHeight="1" s="96">
      <c r="P377" s="3" t="n"/>
      <c r="Q377" s="3" t="n"/>
      <c r="R377" s="3" t="n"/>
    </row>
    <row r="378" ht="14.25" customHeight="1" s="96">
      <c r="P378" s="3" t="n"/>
      <c r="Q378" s="3" t="n"/>
      <c r="R378" s="3" t="n"/>
    </row>
    <row r="379" ht="14.25" customHeight="1" s="96">
      <c r="P379" s="3" t="n"/>
      <c r="Q379" s="3" t="n"/>
      <c r="R379" s="3" t="n"/>
    </row>
    <row r="380" ht="14.25" customHeight="1" s="96">
      <c r="P380" s="3" t="n"/>
      <c r="Q380" s="3" t="n"/>
      <c r="R380" s="3" t="n"/>
    </row>
    <row r="381" ht="14.25" customHeight="1" s="96">
      <c r="P381" s="3" t="n"/>
      <c r="Q381" s="3" t="n"/>
      <c r="R381" s="3" t="n"/>
    </row>
    <row r="382" ht="14.25" customHeight="1" s="96">
      <c r="P382" s="3" t="n"/>
      <c r="Q382" s="3" t="n"/>
      <c r="R382" s="3" t="n"/>
    </row>
    <row r="383" ht="14.25" customHeight="1" s="96">
      <c r="P383" s="3" t="n"/>
      <c r="Q383" s="3" t="n"/>
      <c r="R383" s="3" t="n"/>
    </row>
    <row r="384" ht="14.25" customHeight="1" s="96">
      <c r="P384" s="3" t="n"/>
      <c r="Q384" s="3" t="n"/>
      <c r="R384" s="3" t="n"/>
    </row>
    <row r="385" ht="14.25" customHeight="1" s="96">
      <c r="P385" s="3" t="n"/>
      <c r="Q385" s="3" t="n"/>
      <c r="R385" s="3" t="n"/>
    </row>
    <row r="386" ht="14.25" customHeight="1" s="96">
      <c r="P386" s="3" t="n"/>
      <c r="Q386" s="3" t="n"/>
      <c r="R386" s="3" t="n"/>
    </row>
    <row r="387" ht="14.25" customHeight="1" s="96">
      <c r="P387" s="3" t="n"/>
      <c r="Q387" s="3" t="n"/>
      <c r="R387" s="3" t="n"/>
    </row>
    <row r="388" ht="14.25" customHeight="1" s="96">
      <c r="P388" s="3" t="n"/>
      <c r="Q388" s="3" t="n"/>
      <c r="R388" s="3" t="n"/>
    </row>
    <row r="389" ht="14.25" customHeight="1" s="96">
      <c r="P389" s="3" t="n"/>
      <c r="Q389" s="3" t="n"/>
      <c r="R389" s="3" t="n"/>
    </row>
    <row r="390" ht="14.25" customHeight="1" s="96">
      <c r="P390" s="3" t="n"/>
      <c r="Q390" s="3" t="n"/>
      <c r="R390" s="3" t="n"/>
    </row>
    <row r="391" ht="14.25" customHeight="1" s="96">
      <c r="P391" s="3" t="n"/>
      <c r="Q391" s="3" t="n"/>
      <c r="R391" s="3" t="n"/>
    </row>
    <row r="392" ht="14.25" customHeight="1" s="96">
      <c r="P392" s="3" t="n"/>
      <c r="Q392" s="3" t="n"/>
      <c r="R392" s="3" t="n"/>
    </row>
    <row r="393" ht="14.25" customHeight="1" s="96">
      <c r="P393" s="3" t="n"/>
      <c r="Q393" s="3" t="n"/>
      <c r="R393" s="3" t="n"/>
    </row>
    <row r="394" ht="14.25" customHeight="1" s="96">
      <c r="P394" s="3" t="n"/>
      <c r="Q394" s="3" t="n"/>
      <c r="R394" s="3" t="n"/>
    </row>
    <row r="395" ht="14.25" customHeight="1" s="96">
      <c r="P395" s="3" t="n"/>
      <c r="Q395" s="3" t="n"/>
      <c r="R395" s="3" t="n"/>
    </row>
    <row r="396" ht="14.25" customHeight="1" s="96">
      <c r="P396" s="3" t="n"/>
      <c r="Q396" s="3" t="n"/>
      <c r="R396" s="3" t="n"/>
    </row>
    <row r="397" ht="14.25" customHeight="1" s="96">
      <c r="P397" s="3" t="n"/>
      <c r="Q397" s="3" t="n"/>
      <c r="R397" s="3" t="n"/>
    </row>
    <row r="398" ht="14.25" customHeight="1" s="96">
      <c r="P398" s="3" t="n"/>
      <c r="Q398" s="3" t="n"/>
      <c r="R398" s="3" t="n"/>
    </row>
    <row r="399" ht="14.25" customHeight="1" s="96">
      <c r="P399" s="3" t="n"/>
      <c r="Q399" s="3" t="n"/>
      <c r="R399" s="3" t="n"/>
    </row>
    <row r="400" ht="14.25" customHeight="1" s="96">
      <c r="P400" s="3" t="n"/>
      <c r="Q400" s="3" t="n"/>
      <c r="R400" s="3" t="n"/>
    </row>
    <row r="401" ht="14.25" customHeight="1" s="96">
      <c r="P401" s="3" t="n"/>
      <c r="Q401" s="3" t="n"/>
      <c r="R401" s="3" t="n"/>
    </row>
    <row r="402" ht="14.25" customHeight="1" s="96">
      <c r="P402" s="3" t="n"/>
      <c r="Q402" s="3" t="n"/>
      <c r="R402" s="3" t="n"/>
    </row>
    <row r="403" ht="14.25" customHeight="1" s="96">
      <c r="P403" s="3" t="n"/>
      <c r="Q403" s="3" t="n"/>
      <c r="R403" s="3" t="n"/>
    </row>
    <row r="404" ht="14.25" customHeight="1" s="96">
      <c r="P404" s="3" t="n"/>
      <c r="Q404" s="3" t="n"/>
      <c r="R404" s="3" t="n"/>
    </row>
    <row r="405" ht="14.25" customHeight="1" s="96">
      <c r="P405" s="3" t="n"/>
      <c r="Q405" s="3" t="n"/>
      <c r="R405" s="3" t="n"/>
    </row>
    <row r="406" ht="14.25" customHeight="1" s="96">
      <c r="P406" s="3" t="n"/>
      <c r="Q406" s="3" t="n"/>
      <c r="R406" s="3" t="n"/>
    </row>
    <row r="407" ht="14.25" customHeight="1" s="96">
      <c r="P407" s="3" t="n"/>
      <c r="Q407" s="3" t="n"/>
      <c r="R407" s="3" t="n"/>
    </row>
    <row r="408" ht="14.25" customHeight="1" s="96">
      <c r="P408" s="3" t="n"/>
      <c r="Q408" s="3" t="n"/>
      <c r="R408" s="3" t="n"/>
    </row>
    <row r="409" ht="14.25" customHeight="1" s="96">
      <c r="P409" s="3" t="n"/>
      <c r="Q409" s="3" t="n"/>
      <c r="R409" s="3" t="n"/>
    </row>
    <row r="410" ht="14.25" customHeight="1" s="96">
      <c r="P410" s="3" t="n"/>
      <c r="Q410" s="3" t="n"/>
      <c r="R410" s="3" t="n"/>
    </row>
    <row r="411" ht="14.25" customHeight="1" s="96">
      <c r="P411" s="3" t="n"/>
      <c r="Q411" s="3" t="n"/>
      <c r="R411" s="3" t="n"/>
    </row>
    <row r="412" ht="14.25" customHeight="1" s="96">
      <c r="P412" s="3" t="n"/>
      <c r="Q412" s="3" t="n"/>
      <c r="R412" s="3" t="n"/>
    </row>
    <row r="413" ht="14.25" customHeight="1" s="96">
      <c r="P413" s="3" t="n"/>
      <c r="Q413" s="3" t="n"/>
      <c r="R413" s="3" t="n"/>
    </row>
    <row r="414" ht="14.25" customHeight="1" s="96">
      <c r="P414" s="3" t="n"/>
      <c r="Q414" s="3" t="n"/>
      <c r="R414" s="3" t="n"/>
    </row>
    <row r="415" ht="14.25" customHeight="1" s="96">
      <c r="P415" s="3" t="n"/>
      <c r="Q415" s="3" t="n"/>
      <c r="R415" s="3" t="n"/>
    </row>
    <row r="416" ht="14.25" customHeight="1" s="96">
      <c r="P416" s="3" t="n"/>
      <c r="Q416" s="3" t="n"/>
      <c r="R416" s="3" t="n"/>
    </row>
    <row r="417" ht="14.25" customHeight="1" s="96">
      <c r="P417" s="3" t="n"/>
      <c r="Q417" s="3" t="n"/>
      <c r="R417" s="3" t="n"/>
    </row>
    <row r="418" ht="14.25" customHeight="1" s="96">
      <c r="P418" s="3" t="n"/>
      <c r="Q418" s="3" t="n"/>
      <c r="R418" s="3" t="n"/>
    </row>
    <row r="419" ht="14.25" customHeight="1" s="96">
      <c r="P419" s="3" t="n"/>
      <c r="Q419" s="3" t="n"/>
      <c r="R419" s="3" t="n"/>
    </row>
    <row r="420" ht="14.25" customHeight="1" s="96">
      <c r="P420" s="3" t="n"/>
      <c r="Q420" s="3" t="n"/>
      <c r="R420" s="3" t="n"/>
    </row>
    <row r="421" ht="14.25" customHeight="1" s="96">
      <c r="P421" s="3" t="n"/>
      <c r="Q421" s="3" t="n"/>
      <c r="R421" s="3" t="n"/>
    </row>
    <row r="422" ht="14.25" customHeight="1" s="96">
      <c r="P422" s="3" t="n"/>
      <c r="Q422" s="3" t="n"/>
      <c r="R422" s="3" t="n"/>
    </row>
    <row r="423" ht="14.25" customHeight="1" s="96">
      <c r="P423" s="3" t="n"/>
      <c r="Q423" s="3" t="n"/>
      <c r="R423" s="3" t="n"/>
    </row>
    <row r="424" ht="14.25" customHeight="1" s="96">
      <c r="P424" s="3" t="n"/>
      <c r="Q424" s="3" t="n"/>
      <c r="R424" s="3" t="n"/>
    </row>
    <row r="425" ht="14.25" customHeight="1" s="96">
      <c r="P425" s="3" t="n"/>
      <c r="Q425" s="3" t="n"/>
      <c r="R425" s="3" t="n"/>
    </row>
    <row r="426" ht="14.25" customHeight="1" s="96">
      <c r="P426" s="3" t="n"/>
      <c r="Q426" s="3" t="n"/>
      <c r="R426" s="3" t="n"/>
    </row>
    <row r="427" ht="14.25" customHeight="1" s="96">
      <c r="P427" s="3" t="n"/>
      <c r="Q427" s="3" t="n"/>
      <c r="R427" s="3" t="n"/>
    </row>
    <row r="428" ht="14.25" customHeight="1" s="96">
      <c r="P428" s="3" t="n"/>
      <c r="Q428" s="3" t="n"/>
      <c r="R428" s="3" t="n"/>
    </row>
    <row r="429" ht="14.25" customHeight="1" s="96">
      <c r="P429" s="3" t="n"/>
      <c r="Q429" s="3" t="n"/>
      <c r="R429" s="3" t="n"/>
    </row>
    <row r="430" ht="14.25" customHeight="1" s="96">
      <c r="P430" s="3" t="n"/>
      <c r="Q430" s="3" t="n"/>
      <c r="R430" s="3" t="n"/>
    </row>
    <row r="431" ht="14.25" customHeight="1" s="96">
      <c r="P431" s="3" t="n"/>
      <c r="Q431" s="3" t="n"/>
      <c r="R431" s="3" t="n"/>
    </row>
    <row r="432" ht="14.25" customHeight="1" s="96">
      <c r="P432" s="3" t="n"/>
      <c r="Q432" s="3" t="n"/>
      <c r="R432" s="3" t="n"/>
    </row>
    <row r="433" ht="14.25" customHeight="1" s="96">
      <c r="P433" s="3" t="n"/>
      <c r="Q433" s="3" t="n"/>
      <c r="R433" s="3" t="n"/>
    </row>
    <row r="434" ht="14.25" customHeight="1" s="96">
      <c r="P434" s="3" t="n"/>
      <c r="Q434" s="3" t="n"/>
      <c r="R434" s="3" t="n"/>
    </row>
    <row r="435" ht="14.25" customHeight="1" s="96">
      <c r="P435" s="3" t="n"/>
      <c r="Q435" s="3" t="n"/>
      <c r="R435" s="3" t="n"/>
    </row>
    <row r="436" ht="14.25" customHeight="1" s="96">
      <c r="P436" s="3" t="n"/>
      <c r="Q436" s="3" t="n"/>
      <c r="R436" s="3" t="n"/>
    </row>
    <row r="437" ht="14.25" customHeight="1" s="96">
      <c r="P437" s="3" t="n"/>
      <c r="Q437" s="3" t="n"/>
      <c r="R437" s="3" t="n"/>
    </row>
    <row r="438" ht="14.25" customHeight="1" s="96">
      <c r="P438" s="3" t="n"/>
      <c r="Q438" s="3" t="n"/>
      <c r="R438" s="3" t="n"/>
    </row>
    <row r="439" ht="14.25" customHeight="1" s="96">
      <c r="P439" s="3" t="n"/>
      <c r="Q439" s="3" t="n"/>
      <c r="R439" s="3" t="n"/>
    </row>
    <row r="440" ht="14.25" customHeight="1" s="96">
      <c r="P440" s="3" t="n"/>
      <c r="Q440" s="3" t="n"/>
      <c r="R440" s="3" t="n"/>
    </row>
    <row r="441" ht="14.25" customHeight="1" s="96">
      <c r="P441" s="3" t="n"/>
      <c r="Q441" s="3" t="n"/>
      <c r="R441" s="3" t="n"/>
    </row>
    <row r="442" ht="14.25" customHeight="1" s="96">
      <c r="P442" s="3" t="n"/>
      <c r="Q442" s="3" t="n"/>
      <c r="R442" s="3" t="n"/>
    </row>
    <row r="443" ht="14.25" customHeight="1" s="96">
      <c r="P443" s="3" t="n"/>
      <c r="Q443" s="3" t="n"/>
      <c r="R443" s="3" t="n"/>
    </row>
    <row r="444" ht="14.25" customHeight="1" s="96">
      <c r="P444" s="3" t="n"/>
      <c r="Q444" s="3" t="n"/>
      <c r="R444" s="3" t="n"/>
    </row>
    <row r="445" ht="14.25" customHeight="1" s="96">
      <c r="P445" s="3" t="n"/>
      <c r="Q445" s="3" t="n"/>
      <c r="R445" s="3" t="n"/>
    </row>
    <row r="446" ht="14.25" customHeight="1" s="96">
      <c r="P446" s="3" t="n"/>
      <c r="Q446" s="3" t="n"/>
      <c r="R446" s="3" t="n"/>
    </row>
    <row r="447" ht="14.25" customHeight="1" s="96">
      <c r="P447" s="3" t="n"/>
      <c r="Q447" s="3" t="n"/>
      <c r="R447" s="3" t="n"/>
    </row>
    <row r="448" ht="14.25" customHeight="1" s="96">
      <c r="P448" s="3" t="n"/>
      <c r="Q448" s="3" t="n"/>
      <c r="R448" s="3" t="n"/>
    </row>
    <row r="449" ht="14.25" customHeight="1" s="96">
      <c r="P449" s="3" t="n"/>
      <c r="Q449" s="3" t="n"/>
      <c r="R449" s="3" t="n"/>
    </row>
    <row r="450" ht="14.25" customHeight="1" s="96">
      <c r="P450" s="3" t="n"/>
      <c r="Q450" s="3" t="n"/>
      <c r="R450" s="3" t="n"/>
    </row>
    <row r="451" ht="14.25" customHeight="1" s="96">
      <c r="P451" s="3" t="n"/>
      <c r="Q451" s="3" t="n"/>
      <c r="R451" s="3" t="n"/>
    </row>
    <row r="452" ht="14.25" customHeight="1" s="96">
      <c r="P452" s="3" t="n"/>
      <c r="Q452" s="3" t="n"/>
      <c r="R452" s="3" t="n"/>
    </row>
    <row r="453" ht="14.25" customHeight="1" s="96">
      <c r="P453" s="3" t="n"/>
      <c r="Q453" s="3" t="n"/>
      <c r="R453" s="3" t="n"/>
    </row>
    <row r="454" ht="14.25" customHeight="1" s="96">
      <c r="P454" s="3" t="n"/>
      <c r="Q454" s="3" t="n"/>
      <c r="R454" s="3" t="n"/>
    </row>
    <row r="455" ht="14.25" customHeight="1" s="96">
      <c r="P455" s="3" t="n"/>
      <c r="Q455" s="3" t="n"/>
      <c r="R455" s="3" t="n"/>
    </row>
    <row r="456" ht="14.25" customHeight="1" s="96">
      <c r="P456" s="3" t="n"/>
      <c r="Q456" s="3" t="n"/>
      <c r="R456" s="3" t="n"/>
    </row>
    <row r="457" ht="14.25" customHeight="1" s="96">
      <c r="P457" s="3" t="n"/>
      <c r="Q457" s="3" t="n"/>
      <c r="R457" s="3" t="n"/>
    </row>
    <row r="458" ht="14.25" customHeight="1" s="96">
      <c r="P458" s="3" t="n"/>
      <c r="Q458" s="3" t="n"/>
      <c r="R458" s="3" t="n"/>
    </row>
    <row r="459" ht="14.25" customHeight="1" s="96">
      <c r="P459" s="3" t="n"/>
      <c r="Q459" s="3" t="n"/>
      <c r="R459" s="3" t="n"/>
    </row>
    <row r="460" ht="14.25" customHeight="1" s="96">
      <c r="P460" s="3" t="n"/>
      <c r="Q460" s="3" t="n"/>
      <c r="R460" s="3" t="n"/>
    </row>
    <row r="461" ht="14.25" customHeight="1" s="96">
      <c r="P461" s="3" t="n"/>
      <c r="Q461" s="3" t="n"/>
      <c r="R461" s="3" t="n"/>
    </row>
    <row r="462" ht="14.25" customHeight="1" s="96">
      <c r="P462" s="3" t="n"/>
      <c r="Q462" s="3" t="n"/>
      <c r="R462" s="3" t="n"/>
    </row>
    <row r="463" ht="14.25" customHeight="1" s="96">
      <c r="P463" s="3" t="n"/>
      <c r="Q463" s="3" t="n"/>
      <c r="R463" s="3" t="n"/>
    </row>
    <row r="464" ht="14.25" customHeight="1" s="96">
      <c r="P464" s="3" t="n"/>
      <c r="Q464" s="3" t="n"/>
      <c r="R464" s="3" t="n"/>
    </row>
    <row r="465" ht="14.25" customHeight="1" s="96">
      <c r="P465" s="3" t="n"/>
      <c r="Q465" s="3" t="n"/>
      <c r="R465" s="3" t="n"/>
    </row>
    <row r="466" ht="14.25" customHeight="1" s="96">
      <c r="P466" s="3" t="n"/>
      <c r="Q466" s="3" t="n"/>
      <c r="R466" s="3" t="n"/>
    </row>
    <row r="467" ht="14.25" customHeight="1" s="96">
      <c r="P467" s="3" t="n"/>
      <c r="Q467" s="3" t="n"/>
      <c r="R467" s="3" t="n"/>
    </row>
    <row r="468" ht="14.25" customHeight="1" s="96">
      <c r="P468" s="3" t="n"/>
      <c r="Q468" s="3" t="n"/>
      <c r="R468" s="3" t="n"/>
    </row>
    <row r="469" ht="14.25" customHeight="1" s="96">
      <c r="P469" s="3" t="n"/>
      <c r="Q469" s="3" t="n"/>
      <c r="R469" s="3" t="n"/>
    </row>
    <row r="470" ht="14.25" customHeight="1" s="96">
      <c r="P470" s="3" t="n"/>
      <c r="Q470" s="3" t="n"/>
      <c r="R470" s="3" t="n"/>
    </row>
    <row r="471" ht="14.25" customHeight="1" s="96">
      <c r="P471" s="3" t="n"/>
      <c r="Q471" s="3" t="n"/>
      <c r="R471" s="3" t="n"/>
    </row>
    <row r="472" ht="14.25" customHeight="1" s="96">
      <c r="P472" s="3" t="n"/>
      <c r="Q472" s="3" t="n"/>
      <c r="R472" s="3" t="n"/>
    </row>
    <row r="473" ht="14.25" customHeight="1" s="96">
      <c r="P473" s="3" t="n"/>
      <c r="Q473" s="3" t="n"/>
      <c r="R473" s="3" t="n"/>
    </row>
    <row r="474" ht="14.25" customHeight="1" s="96">
      <c r="P474" s="3" t="n"/>
      <c r="Q474" s="3" t="n"/>
      <c r="R474" s="3" t="n"/>
    </row>
    <row r="475" ht="14.25" customHeight="1" s="96">
      <c r="P475" s="3" t="n"/>
      <c r="Q475" s="3" t="n"/>
      <c r="R475" s="3" t="n"/>
    </row>
    <row r="476" ht="14.25" customHeight="1" s="96">
      <c r="P476" s="3" t="n"/>
      <c r="Q476" s="3" t="n"/>
      <c r="R476" s="3" t="n"/>
    </row>
    <row r="477" ht="14.25" customHeight="1" s="96">
      <c r="P477" s="3" t="n"/>
      <c r="Q477" s="3" t="n"/>
      <c r="R477" s="3" t="n"/>
    </row>
    <row r="478" ht="14.25" customHeight="1" s="96">
      <c r="P478" s="3" t="n"/>
      <c r="Q478" s="3" t="n"/>
      <c r="R478" s="3" t="n"/>
    </row>
    <row r="479" ht="14.25" customHeight="1" s="96">
      <c r="P479" s="3" t="n"/>
      <c r="Q479" s="3" t="n"/>
      <c r="R479" s="3" t="n"/>
    </row>
    <row r="480" ht="14.25" customHeight="1" s="96">
      <c r="P480" s="3" t="n"/>
      <c r="Q480" s="3" t="n"/>
      <c r="R480" s="3" t="n"/>
    </row>
    <row r="481" ht="14.25" customHeight="1" s="96">
      <c r="P481" s="3" t="n"/>
      <c r="Q481" s="3" t="n"/>
      <c r="R481" s="3" t="n"/>
    </row>
    <row r="482" ht="14.25" customHeight="1" s="96">
      <c r="P482" s="3" t="n"/>
      <c r="Q482" s="3" t="n"/>
      <c r="R482" s="3" t="n"/>
    </row>
    <row r="483" ht="14.25" customHeight="1" s="96">
      <c r="P483" s="3" t="n"/>
      <c r="Q483" s="3" t="n"/>
      <c r="R483" s="3" t="n"/>
    </row>
    <row r="484" ht="14.25" customHeight="1" s="96">
      <c r="P484" s="3" t="n"/>
      <c r="Q484" s="3" t="n"/>
      <c r="R484" s="3" t="n"/>
    </row>
    <row r="485" ht="14.25" customHeight="1" s="96">
      <c r="P485" s="3" t="n"/>
      <c r="Q485" s="3" t="n"/>
      <c r="R485" s="3" t="n"/>
    </row>
    <row r="486" ht="14.25" customHeight="1" s="96">
      <c r="P486" s="3" t="n"/>
      <c r="Q486" s="3" t="n"/>
      <c r="R486" s="3" t="n"/>
    </row>
    <row r="487" ht="14.25" customHeight="1" s="96">
      <c r="P487" s="3" t="n"/>
      <c r="Q487" s="3" t="n"/>
      <c r="R487" s="3" t="n"/>
    </row>
    <row r="488" ht="14.25" customHeight="1" s="96">
      <c r="P488" s="3" t="n"/>
      <c r="Q488" s="3" t="n"/>
      <c r="R488" s="3" t="n"/>
    </row>
    <row r="489" ht="14.25" customHeight="1" s="96">
      <c r="P489" s="3" t="n"/>
      <c r="Q489" s="3" t="n"/>
      <c r="R489" s="3" t="n"/>
    </row>
    <row r="490" ht="14.25" customHeight="1" s="96">
      <c r="P490" s="3" t="n"/>
      <c r="Q490" s="3" t="n"/>
      <c r="R490" s="3" t="n"/>
    </row>
    <row r="491" ht="14.25" customHeight="1" s="96">
      <c r="P491" s="3" t="n"/>
      <c r="Q491" s="3" t="n"/>
      <c r="R491" s="3" t="n"/>
    </row>
    <row r="492" ht="14.25" customHeight="1" s="96">
      <c r="P492" s="3" t="n"/>
      <c r="Q492" s="3" t="n"/>
      <c r="R492" s="3" t="n"/>
    </row>
    <row r="493" ht="14.25" customHeight="1" s="96">
      <c r="P493" s="3" t="n"/>
      <c r="Q493" s="3" t="n"/>
      <c r="R493" s="3" t="n"/>
    </row>
    <row r="494" ht="14.25" customHeight="1" s="96">
      <c r="P494" s="3" t="n"/>
      <c r="Q494" s="3" t="n"/>
      <c r="R494" s="3" t="n"/>
    </row>
    <row r="495" ht="14.25" customHeight="1" s="96">
      <c r="P495" s="3" t="n"/>
      <c r="Q495" s="3" t="n"/>
      <c r="R495" s="3" t="n"/>
    </row>
    <row r="496" ht="14.25" customHeight="1" s="96">
      <c r="P496" s="3" t="n"/>
      <c r="Q496" s="3" t="n"/>
      <c r="R496" s="3" t="n"/>
    </row>
    <row r="497" ht="14.25" customHeight="1" s="96">
      <c r="P497" s="3" t="n"/>
      <c r="Q497" s="3" t="n"/>
      <c r="R497" s="3" t="n"/>
    </row>
    <row r="498" ht="14.25" customHeight="1" s="96">
      <c r="P498" s="3" t="n"/>
      <c r="Q498" s="3" t="n"/>
      <c r="R498" s="3" t="n"/>
    </row>
    <row r="499" ht="14.25" customHeight="1" s="96">
      <c r="P499" s="3" t="n"/>
      <c r="Q499" s="3" t="n"/>
      <c r="R499" s="3" t="n"/>
    </row>
    <row r="500" ht="14.25" customHeight="1" s="96">
      <c r="P500" s="3" t="n"/>
      <c r="Q500" s="3" t="n"/>
      <c r="R500" s="3" t="n"/>
    </row>
    <row r="501" ht="14.25" customHeight="1" s="96">
      <c r="P501" s="3" t="n"/>
      <c r="Q501" s="3" t="n"/>
      <c r="R501" s="3" t="n"/>
    </row>
    <row r="502" ht="14.25" customHeight="1" s="96">
      <c r="P502" s="3" t="n"/>
      <c r="Q502" s="3" t="n"/>
      <c r="R502" s="3" t="n"/>
    </row>
    <row r="503" ht="14.25" customHeight="1" s="96">
      <c r="P503" s="3" t="n"/>
      <c r="Q503" s="3" t="n"/>
      <c r="R503" s="3" t="n"/>
    </row>
    <row r="504" ht="14.25" customHeight="1" s="96">
      <c r="P504" s="3" t="n"/>
      <c r="Q504" s="3" t="n"/>
      <c r="R504" s="3" t="n"/>
    </row>
    <row r="505" ht="14.25" customHeight="1" s="96">
      <c r="P505" s="3" t="n"/>
      <c r="Q505" s="3" t="n"/>
      <c r="R505" s="3" t="n"/>
    </row>
    <row r="506" ht="14.25" customHeight="1" s="96">
      <c r="P506" s="3" t="n"/>
      <c r="Q506" s="3" t="n"/>
      <c r="R506" s="3" t="n"/>
    </row>
    <row r="507" ht="14.25" customHeight="1" s="96">
      <c r="P507" s="3" t="n"/>
      <c r="Q507" s="3" t="n"/>
      <c r="R507" s="3" t="n"/>
    </row>
    <row r="508" ht="14.25" customHeight="1" s="96">
      <c r="P508" s="3" t="n"/>
      <c r="Q508" s="3" t="n"/>
      <c r="R508" s="3" t="n"/>
    </row>
    <row r="509" ht="14.25" customHeight="1" s="96">
      <c r="P509" s="3" t="n"/>
      <c r="Q509" s="3" t="n"/>
      <c r="R509" s="3" t="n"/>
    </row>
    <row r="510" ht="14.25" customHeight="1" s="96">
      <c r="P510" s="3" t="n"/>
      <c r="Q510" s="3" t="n"/>
      <c r="R510" s="3" t="n"/>
    </row>
    <row r="511" ht="14.25" customHeight="1" s="96">
      <c r="P511" s="3" t="n"/>
      <c r="Q511" s="3" t="n"/>
      <c r="R511" s="3" t="n"/>
    </row>
    <row r="512" ht="14.25" customHeight="1" s="96">
      <c r="P512" s="3" t="n"/>
      <c r="Q512" s="3" t="n"/>
      <c r="R512" s="3" t="n"/>
    </row>
    <row r="513" ht="14.25" customHeight="1" s="96">
      <c r="P513" s="3" t="n"/>
      <c r="Q513" s="3" t="n"/>
      <c r="R513" s="3" t="n"/>
    </row>
    <row r="514" ht="14.25" customHeight="1" s="96">
      <c r="P514" s="3" t="n"/>
      <c r="Q514" s="3" t="n"/>
      <c r="R514" s="3" t="n"/>
    </row>
    <row r="515" ht="14.25" customHeight="1" s="96">
      <c r="P515" s="3" t="n"/>
      <c r="Q515" s="3" t="n"/>
      <c r="R515" s="3" t="n"/>
    </row>
    <row r="516" ht="14.25" customHeight="1" s="96">
      <c r="P516" s="3" t="n"/>
      <c r="Q516" s="3" t="n"/>
      <c r="R516" s="3" t="n"/>
    </row>
    <row r="517" ht="14.25" customHeight="1" s="96">
      <c r="P517" s="3" t="n"/>
      <c r="Q517" s="3" t="n"/>
      <c r="R517" s="3" t="n"/>
    </row>
    <row r="518" ht="14.25" customHeight="1" s="96">
      <c r="P518" s="3" t="n"/>
      <c r="Q518" s="3" t="n"/>
      <c r="R518" s="3" t="n"/>
    </row>
    <row r="519" ht="14.25" customHeight="1" s="96">
      <c r="P519" s="3" t="n"/>
      <c r="Q519" s="3" t="n"/>
      <c r="R519" s="3" t="n"/>
    </row>
    <row r="520" ht="14.25" customHeight="1" s="96">
      <c r="P520" s="3" t="n"/>
      <c r="Q520" s="3" t="n"/>
      <c r="R520" s="3" t="n"/>
    </row>
    <row r="521" ht="14.25" customHeight="1" s="96">
      <c r="P521" s="3" t="n"/>
      <c r="Q521" s="3" t="n"/>
      <c r="R521" s="3" t="n"/>
    </row>
    <row r="522" ht="14.25" customHeight="1" s="96">
      <c r="P522" s="3" t="n"/>
      <c r="Q522" s="3" t="n"/>
      <c r="R522" s="3" t="n"/>
    </row>
    <row r="523" ht="14.25" customHeight="1" s="96">
      <c r="P523" s="3" t="n"/>
      <c r="Q523" s="3" t="n"/>
      <c r="R523" s="3" t="n"/>
    </row>
    <row r="524" ht="14.25" customHeight="1" s="96">
      <c r="P524" s="3" t="n"/>
      <c r="Q524" s="3" t="n"/>
      <c r="R524" s="3" t="n"/>
    </row>
    <row r="525" ht="14.25" customHeight="1" s="96">
      <c r="P525" s="3" t="n"/>
      <c r="Q525" s="3" t="n"/>
      <c r="R525" s="3" t="n"/>
    </row>
    <row r="526" ht="14.25" customHeight="1" s="96">
      <c r="P526" s="3" t="n"/>
      <c r="Q526" s="3" t="n"/>
      <c r="R526" s="3" t="n"/>
    </row>
    <row r="527" ht="14.25" customHeight="1" s="96">
      <c r="P527" s="3" t="n"/>
      <c r="Q527" s="3" t="n"/>
      <c r="R527" s="3" t="n"/>
    </row>
    <row r="528" ht="14.25" customHeight="1" s="96">
      <c r="P528" s="3" t="n"/>
      <c r="Q528" s="3" t="n"/>
      <c r="R528" s="3" t="n"/>
    </row>
    <row r="529" ht="14.25" customHeight="1" s="96">
      <c r="P529" s="3" t="n"/>
      <c r="Q529" s="3" t="n"/>
      <c r="R529" s="3" t="n"/>
    </row>
    <row r="530" ht="14.25" customHeight="1" s="96">
      <c r="P530" s="3" t="n"/>
      <c r="Q530" s="3" t="n"/>
      <c r="R530" s="3" t="n"/>
    </row>
    <row r="531" ht="14.25" customHeight="1" s="96">
      <c r="P531" s="3" t="n"/>
      <c r="Q531" s="3" t="n"/>
      <c r="R531" s="3" t="n"/>
    </row>
    <row r="532" ht="14.25" customHeight="1" s="96">
      <c r="P532" s="3" t="n"/>
      <c r="Q532" s="3" t="n"/>
      <c r="R532" s="3" t="n"/>
    </row>
    <row r="533" ht="14.25" customHeight="1" s="96">
      <c r="P533" s="3" t="n"/>
      <c r="Q533" s="3" t="n"/>
      <c r="R533" s="3" t="n"/>
    </row>
    <row r="534" ht="14.25" customHeight="1" s="96">
      <c r="P534" s="3" t="n"/>
      <c r="Q534" s="3" t="n"/>
      <c r="R534" s="3" t="n"/>
    </row>
    <row r="535" ht="14.25" customHeight="1" s="96">
      <c r="P535" s="3" t="n"/>
      <c r="Q535" s="3" t="n"/>
      <c r="R535" s="3" t="n"/>
    </row>
    <row r="536" ht="14.25" customHeight="1" s="96">
      <c r="P536" s="3" t="n"/>
      <c r="Q536" s="3" t="n"/>
      <c r="R536" s="3" t="n"/>
    </row>
    <row r="537" ht="14.25" customHeight="1" s="96">
      <c r="P537" s="3" t="n"/>
      <c r="Q537" s="3" t="n"/>
      <c r="R537" s="3" t="n"/>
    </row>
    <row r="538" ht="14.25" customHeight="1" s="96">
      <c r="P538" s="3" t="n"/>
      <c r="Q538" s="3" t="n"/>
      <c r="R538" s="3" t="n"/>
    </row>
    <row r="539" ht="14.25" customHeight="1" s="96">
      <c r="P539" s="3" t="n"/>
      <c r="Q539" s="3" t="n"/>
      <c r="R539" s="3" t="n"/>
    </row>
    <row r="540" ht="14.25" customHeight="1" s="96">
      <c r="P540" s="3" t="n"/>
      <c r="Q540" s="3" t="n"/>
      <c r="R540" s="3" t="n"/>
    </row>
    <row r="541" ht="14.25" customHeight="1" s="96">
      <c r="P541" s="3" t="n"/>
      <c r="Q541" s="3" t="n"/>
      <c r="R541" s="3" t="n"/>
    </row>
    <row r="542" ht="14.25" customHeight="1" s="96">
      <c r="P542" s="3" t="n"/>
      <c r="Q542" s="3" t="n"/>
      <c r="R542" s="3" t="n"/>
    </row>
    <row r="543" ht="14.25" customHeight="1" s="96">
      <c r="P543" s="3" t="n"/>
      <c r="Q543" s="3" t="n"/>
      <c r="R543" s="3" t="n"/>
    </row>
    <row r="544" ht="14.25" customHeight="1" s="96">
      <c r="P544" s="3" t="n"/>
      <c r="Q544" s="3" t="n"/>
      <c r="R544" s="3" t="n"/>
    </row>
    <row r="545" ht="14.25" customHeight="1" s="96">
      <c r="P545" s="3" t="n"/>
      <c r="Q545" s="3" t="n"/>
      <c r="R545" s="3" t="n"/>
    </row>
    <row r="546" ht="14.25" customHeight="1" s="96">
      <c r="P546" s="3" t="n"/>
      <c r="Q546" s="3" t="n"/>
      <c r="R546" s="3" t="n"/>
    </row>
    <row r="547" ht="14.25" customHeight="1" s="96">
      <c r="P547" s="3" t="n"/>
      <c r="Q547" s="3" t="n"/>
      <c r="R547" s="3" t="n"/>
    </row>
    <row r="548" ht="14.25" customHeight="1" s="96">
      <c r="P548" s="3" t="n"/>
      <c r="Q548" s="3" t="n"/>
      <c r="R548" s="3" t="n"/>
    </row>
    <row r="549" ht="14.25" customHeight="1" s="96">
      <c r="P549" s="3" t="n"/>
      <c r="Q549" s="3" t="n"/>
      <c r="R549" s="3" t="n"/>
    </row>
    <row r="550" ht="14.25" customHeight="1" s="96">
      <c r="P550" s="3" t="n"/>
      <c r="Q550" s="3" t="n"/>
      <c r="R550" s="3" t="n"/>
    </row>
    <row r="551" ht="14.25" customHeight="1" s="96">
      <c r="P551" s="3" t="n"/>
      <c r="Q551" s="3" t="n"/>
      <c r="R551" s="3" t="n"/>
    </row>
    <row r="552" ht="14.25" customHeight="1" s="96">
      <c r="P552" s="3" t="n"/>
      <c r="Q552" s="3" t="n"/>
      <c r="R552" s="3" t="n"/>
    </row>
    <row r="553" ht="14.25" customHeight="1" s="96">
      <c r="P553" s="3" t="n"/>
      <c r="Q553" s="3" t="n"/>
      <c r="R553" s="3" t="n"/>
    </row>
    <row r="554" ht="14.25" customHeight="1" s="96">
      <c r="P554" s="3" t="n"/>
      <c r="Q554" s="3" t="n"/>
      <c r="R554" s="3" t="n"/>
    </row>
    <row r="555" ht="14.25" customHeight="1" s="96">
      <c r="P555" s="3" t="n"/>
      <c r="Q555" s="3" t="n"/>
      <c r="R555" s="3" t="n"/>
    </row>
    <row r="556" ht="14.25" customHeight="1" s="96">
      <c r="P556" s="3" t="n"/>
      <c r="Q556" s="3" t="n"/>
      <c r="R556" s="3" t="n"/>
    </row>
    <row r="557" ht="14.25" customHeight="1" s="96">
      <c r="P557" s="3" t="n"/>
      <c r="Q557" s="3" t="n"/>
      <c r="R557" s="3" t="n"/>
    </row>
    <row r="558" ht="14.25" customHeight="1" s="96">
      <c r="P558" s="3" t="n"/>
      <c r="Q558" s="3" t="n"/>
      <c r="R558" s="3" t="n"/>
    </row>
    <row r="559" ht="14.25" customHeight="1" s="96">
      <c r="P559" s="3" t="n"/>
      <c r="Q559" s="3" t="n"/>
      <c r="R559" s="3" t="n"/>
    </row>
    <row r="560" ht="14.25" customHeight="1" s="96">
      <c r="P560" s="3" t="n"/>
      <c r="Q560" s="3" t="n"/>
      <c r="R560" s="3" t="n"/>
    </row>
    <row r="561" ht="14.25" customHeight="1" s="96">
      <c r="P561" s="3" t="n"/>
      <c r="Q561" s="3" t="n"/>
      <c r="R561" s="3" t="n"/>
    </row>
    <row r="562" ht="14.25" customHeight="1" s="96">
      <c r="P562" s="3" t="n"/>
      <c r="Q562" s="3" t="n"/>
      <c r="R562" s="3" t="n"/>
    </row>
    <row r="563" ht="14.25" customHeight="1" s="96">
      <c r="P563" s="3" t="n"/>
      <c r="Q563" s="3" t="n"/>
      <c r="R563" s="3" t="n"/>
    </row>
    <row r="564" ht="14.25" customHeight="1" s="96">
      <c r="P564" s="3" t="n"/>
      <c r="Q564" s="3" t="n"/>
      <c r="R564" s="3" t="n"/>
    </row>
    <row r="565" ht="14.25" customHeight="1" s="96">
      <c r="P565" s="3" t="n"/>
      <c r="Q565" s="3" t="n"/>
      <c r="R565" s="3" t="n"/>
    </row>
    <row r="566" ht="14.25" customHeight="1" s="96">
      <c r="P566" s="3" t="n"/>
      <c r="Q566" s="3" t="n"/>
      <c r="R566" s="3" t="n"/>
    </row>
    <row r="567" ht="14.25" customHeight="1" s="96">
      <c r="P567" s="3" t="n"/>
      <c r="Q567" s="3" t="n"/>
      <c r="R567" s="3" t="n"/>
    </row>
    <row r="568" ht="14.25" customHeight="1" s="96">
      <c r="P568" s="3" t="n"/>
      <c r="Q568" s="3" t="n"/>
      <c r="R568" s="3" t="n"/>
    </row>
    <row r="569" ht="14.25" customHeight="1" s="96">
      <c r="P569" s="3" t="n"/>
      <c r="Q569" s="3" t="n"/>
      <c r="R569" s="3" t="n"/>
    </row>
    <row r="570" ht="14.25" customHeight="1" s="96">
      <c r="P570" s="3" t="n"/>
      <c r="Q570" s="3" t="n"/>
      <c r="R570" s="3" t="n"/>
    </row>
    <row r="571" ht="14.25" customHeight="1" s="96">
      <c r="P571" s="3" t="n"/>
      <c r="Q571" s="3" t="n"/>
      <c r="R571" s="3" t="n"/>
    </row>
    <row r="572" ht="14.25" customHeight="1" s="96">
      <c r="P572" s="3" t="n"/>
      <c r="Q572" s="3" t="n"/>
      <c r="R572" s="3" t="n"/>
    </row>
    <row r="573" ht="14.25" customHeight="1" s="96">
      <c r="P573" s="3" t="n"/>
      <c r="Q573" s="3" t="n"/>
      <c r="R573" s="3" t="n"/>
    </row>
    <row r="574" ht="14.25" customHeight="1" s="96">
      <c r="P574" s="3" t="n"/>
      <c r="Q574" s="3" t="n"/>
      <c r="R574" s="3" t="n"/>
    </row>
    <row r="575" ht="14.25" customHeight="1" s="96">
      <c r="P575" s="3" t="n"/>
      <c r="Q575" s="3" t="n"/>
      <c r="R575" s="3" t="n"/>
    </row>
    <row r="576" ht="14.25" customHeight="1" s="96">
      <c r="P576" s="3" t="n"/>
      <c r="Q576" s="3" t="n"/>
      <c r="R576" s="3" t="n"/>
    </row>
    <row r="577" ht="14.25" customHeight="1" s="96">
      <c r="P577" s="3" t="n"/>
      <c r="Q577" s="3" t="n"/>
      <c r="R577" s="3" t="n"/>
    </row>
    <row r="578" ht="14.25" customHeight="1" s="96">
      <c r="P578" s="3" t="n"/>
      <c r="Q578" s="3" t="n"/>
      <c r="R578" s="3" t="n"/>
    </row>
    <row r="579" ht="14.25" customHeight="1" s="96">
      <c r="P579" s="3" t="n"/>
      <c r="Q579" s="3" t="n"/>
      <c r="R579" s="3" t="n"/>
    </row>
    <row r="580" ht="14.25" customHeight="1" s="96">
      <c r="P580" s="3" t="n"/>
      <c r="Q580" s="3" t="n"/>
      <c r="R580" s="3" t="n"/>
    </row>
    <row r="581" ht="14.25" customHeight="1" s="96">
      <c r="P581" s="3" t="n"/>
      <c r="Q581" s="3" t="n"/>
      <c r="R581" s="3" t="n"/>
    </row>
    <row r="582" ht="14.25" customHeight="1" s="96">
      <c r="P582" s="3" t="n"/>
      <c r="Q582" s="3" t="n"/>
      <c r="R582" s="3" t="n"/>
    </row>
    <row r="583" ht="14.25" customHeight="1" s="96">
      <c r="P583" s="3" t="n"/>
      <c r="Q583" s="3" t="n"/>
      <c r="R583" s="3" t="n"/>
    </row>
    <row r="584" ht="14.25" customHeight="1" s="96">
      <c r="P584" s="3" t="n"/>
      <c r="Q584" s="3" t="n"/>
      <c r="R584" s="3" t="n"/>
    </row>
    <row r="585" ht="14.25" customHeight="1" s="96">
      <c r="P585" s="3" t="n"/>
      <c r="Q585" s="3" t="n"/>
      <c r="R585" s="3" t="n"/>
    </row>
    <row r="586" ht="14.25" customHeight="1" s="96">
      <c r="P586" s="3" t="n"/>
      <c r="Q586" s="3" t="n"/>
      <c r="R586" s="3" t="n"/>
    </row>
    <row r="587" ht="14.25" customHeight="1" s="96">
      <c r="P587" s="3" t="n"/>
      <c r="Q587" s="3" t="n"/>
      <c r="R587" s="3" t="n"/>
    </row>
    <row r="588" ht="14.25" customHeight="1" s="96">
      <c r="P588" s="3" t="n"/>
      <c r="Q588" s="3" t="n"/>
      <c r="R588" s="3" t="n"/>
    </row>
    <row r="589" ht="14.25" customHeight="1" s="96">
      <c r="P589" s="3" t="n"/>
      <c r="Q589" s="3" t="n"/>
      <c r="R589" s="3" t="n"/>
    </row>
    <row r="590" ht="14.25" customHeight="1" s="96">
      <c r="P590" s="3" t="n"/>
      <c r="Q590" s="3" t="n"/>
      <c r="R590" s="3" t="n"/>
    </row>
    <row r="591" ht="14.25" customHeight="1" s="96">
      <c r="P591" s="3" t="n"/>
      <c r="Q591" s="3" t="n"/>
      <c r="R591" s="3" t="n"/>
    </row>
    <row r="592" ht="14.25" customHeight="1" s="96">
      <c r="P592" s="3" t="n"/>
      <c r="Q592" s="3" t="n"/>
      <c r="R592" s="3" t="n"/>
    </row>
    <row r="593" ht="14.25" customHeight="1" s="96">
      <c r="P593" s="3" t="n"/>
      <c r="Q593" s="3" t="n"/>
      <c r="R593" s="3" t="n"/>
    </row>
    <row r="594" ht="14.25" customHeight="1" s="96">
      <c r="P594" s="3" t="n"/>
      <c r="Q594" s="3" t="n"/>
      <c r="R594" s="3" t="n"/>
    </row>
    <row r="595" ht="14.25" customHeight="1" s="96">
      <c r="P595" s="3" t="n"/>
      <c r="Q595" s="3" t="n"/>
      <c r="R595" s="3" t="n"/>
    </row>
    <row r="596" ht="14.25" customHeight="1" s="96">
      <c r="P596" s="3" t="n"/>
      <c r="Q596" s="3" t="n"/>
      <c r="R596" s="3" t="n"/>
    </row>
    <row r="597" ht="14.25" customHeight="1" s="96">
      <c r="P597" s="3" t="n"/>
      <c r="Q597" s="3" t="n"/>
      <c r="R597" s="3" t="n"/>
    </row>
    <row r="598" ht="14.25" customHeight="1" s="96">
      <c r="P598" s="3" t="n"/>
      <c r="Q598" s="3" t="n"/>
      <c r="R598" s="3" t="n"/>
    </row>
    <row r="599" ht="14.25" customHeight="1" s="96">
      <c r="P599" s="3" t="n"/>
      <c r="Q599" s="3" t="n"/>
      <c r="R599" s="3" t="n"/>
    </row>
    <row r="600" ht="14.25" customHeight="1" s="96">
      <c r="P600" s="3" t="n"/>
      <c r="Q600" s="3" t="n"/>
      <c r="R600" s="3" t="n"/>
    </row>
    <row r="601" ht="14.25" customHeight="1" s="96">
      <c r="P601" s="3" t="n"/>
      <c r="Q601" s="3" t="n"/>
      <c r="R601" s="3" t="n"/>
    </row>
    <row r="602" ht="14.25" customHeight="1" s="96">
      <c r="P602" s="3" t="n"/>
      <c r="Q602" s="3" t="n"/>
      <c r="R602" s="3" t="n"/>
    </row>
    <row r="603" ht="14.25" customHeight="1" s="96">
      <c r="P603" s="3" t="n"/>
      <c r="Q603" s="3" t="n"/>
      <c r="R603" s="3" t="n"/>
    </row>
    <row r="604" ht="14.25" customHeight="1" s="96">
      <c r="P604" s="3" t="n"/>
      <c r="Q604" s="3" t="n"/>
      <c r="R604" s="3" t="n"/>
    </row>
    <row r="605" ht="14.25" customHeight="1" s="96">
      <c r="P605" s="3" t="n"/>
      <c r="Q605" s="3" t="n"/>
      <c r="R605" s="3" t="n"/>
    </row>
    <row r="606" ht="14.25" customHeight="1" s="96">
      <c r="P606" s="3" t="n"/>
      <c r="Q606" s="3" t="n"/>
      <c r="R606" s="3" t="n"/>
    </row>
    <row r="607" ht="14.25" customHeight="1" s="96">
      <c r="P607" s="3" t="n"/>
      <c r="Q607" s="3" t="n"/>
      <c r="R607" s="3" t="n"/>
    </row>
    <row r="608" ht="14.25" customHeight="1" s="96">
      <c r="P608" s="3" t="n"/>
      <c r="Q608" s="3" t="n"/>
      <c r="R608" s="3" t="n"/>
    </row>
    <row r="609" ht="14.25" customHeight="1" s="96">
      <c r="P609" s="3" t="n"/>
      <c r="Q609" s="3" t="n"/>
      <c r="R609" s="3" t="n"/>
    </row>
    <row r="610" ht="14.25" customHeight="1" s="96">
      <c r="P610" s="3" t="n"/>
      <c r="Q610" s="3" t="n"/>
      <c r="R610" s="3" t="n"/>
    </row>
    <row r="611" ht="14.25" customHeight="1" s="96">
      <c r="P611" s="3" t="n"/>
      <c r="Q611" s="3" t="n"/>
      <c r="R611" s="3" t="n"/>
    </row>
    <row r="612" ht="14.25" customHeight="1" s="96">
      <c r="P612" s="3" t="n"/>
      <c r="Q612" s="3" t="n"/>
      <c r="R612" s="3" t="n"/>
    </row>
    <row r="613" ht="14.25" customHeight="1" s="96">
      <c r="P613" s="3" t="n"/>
      <c r="Q613" s="3" t="n"/>
      <c r="R613" s="3" t="n"/>
    </row>
    <row r="614" ht="14.25" customHeight="1" s="96">
      <c r="P614" s="3" t="n"/>
      <c r="Q614" s="3" t="n"/>
      <c r="R614" s="3" t="n"/>
    </row>
    <row r="615" ht="14.25" customHeight="1" s="96">
      <c r="P615" s="3" t="n"/>
      <c r="Q615" s="3" t="n"/>
      <c r="R615" s="3" t="n"/>
    </row>
    <row r="616" ht="14.25" customHeight="1" s="96">
      <c r="P616" s="3" t="n"/>
      <c r="Q616" s="3" t="n"/>
      <c r="R616" s="3" t="n"/>
    </row>
    <row r="617" ht="14.25" customHeight="1" s="96">
      <c r="P617" s="3" t="n"/>
      <c r="Q617" s="3" t="n"/>
      <c r="R617" s="3" t="n"/>
    </row>
    <row r="618" ht="14.25" customHeight="1" s="96">
      <c r="P618" s="3" t="n"/>
      <c r="Q618" s="3" t="n"/>
      <c r="R618" s="3" t="n"/>
    </row>
    <row r="619" ht="14.25" customHeight="1" s="96">
      <c r="P619" s="3" t="n"/>
      <c r="Q619" s="3" t="n"/>
      <c r="R619" s="3" t="n"/>
    </row>
    <row r="620" ht="14.25" customHeight="1" s="96">
      <c r="P620" s="3" t="n"/>
      <c r="Q620" s="3" t="n"/>
      <c r="R620" s="3" t="n"/>
    </row>
    <row r="621" ht="14.25" customHeight="1" s="96">
      <c r="P621" s="3" t="n"/>
      <c r="Q621" s="3" t="n"/>
      <c r="R621" s="3" t="n"/>
    </row>
    <row r="622" ht="14.25" customHeight="1" s="96">
      <c r="P622" s="3" t="n"/>
      <c r="Q622" s="3" t="n"/>
      <c r="R622" s="3" t="n"/>
    </row>
    <row r="623" ht="14.25" customHeight="1" s="96">
      <c r="P623" s="3" t="n"/>
      <c r="Q623" s="3" t="n"/>
      <c r="R623" s="3" t="n"/>
    </row>
    <row r="624" ht="14.25" customHeight="1" s="96">
      <c r="P624" s="3" t="n"/>
      <c r="Q624" s="3" t="n"/>
      <c r="R624" s="3" t="n"/>
    </row>
    <row r="625" ht="14.25" customHeight="1" s="96">
      <c r="P625" s="3" t="n"/>
      <c r="Q625" s="3" t="n"/>
      <c r="R625" s="3" t="n"/>
    </row>
    <row r="626" ht="14.25" customHeight="1" s="96">
      <c r="P626" s="3" t="n"/>
      <c r="Q626" s="3" t="n"/>
      <c r="R626" s="3" t="n"/>
    </row>
    <row r="627" ht="14.25" customHeight="1" s="96">
      <c r="P627" s="3" t="n"/>
      <c r="Q627" s="3" t="n"/>
      <c r="R627" s="3" t="n"/>
    </row>
    <row r="628" ht="14.25" customHeight="1" s="96">
      <c r="P628" s="3" t="n"/>
      <c r="Q628" s="3" t="n"/>
      <c r="R628" s="3" t="n"/>
    </row>
    <row r="629" ht="14.25" customHeight="1" s="96">
      <c r="P629" s="3" t="n"/>
      <c r="Q629" s="3" t="n"/>
      <c r="R629" s="3" t="n"/>
    </row>
    <row r="630" ht="14.25" customHeight="1" s="96">
      <c r="P630" s="3" t="n"/>
      <c r="Q630" s="3" t="n"/>
      <c r="R630" s="3" t="n"/>
    </row>
    <row r="631" ht="14.25" customHeight="1" s="96">
      <c r="P631" s="3" t="n"/>
      <c r="Q631" s="3" t="n"/>
      <c r="R631" s="3" t="n"/>
    </row>
    <row r="632" ht="14.25" customHeight="1" s="96">
      <c r="P632" s="3" t="n"/>
      <c r="Q632" s="3" t="n"/>
      <c r="R632" s="3" t="n"/>
    </row>
    <row r="633" ht="14.25" customHeight="1" s="96">
      <c r="P633" s="3" t="n"/>
      <c r="Q633" s="3" t="n"/>
      <c r="R633" s="3" t="n"/>
    </row>
    <row r="634" ht="14.25" customHeight="1" s="96">
      <c r="P634" s="3" t="n"/>
      <c r="Q634" s="3" t="n"/>
      <c r="R634" s="3" t="n"/>
    </row>
    <row r="635" ht="14.25" customHeight="1" s="96">
      <c r="P635" s="3" t="n"/>
      <c r="Q635" s="3" t="n"/>
      <c r="R635" s="3" t="n"/>
    </row>
    <row r="636" ht="14.25" customHeight="1" s="96">
      <c r="P636" s="3" t="n"/>
      <c r="Q636" s="3" t="n"/>
      <c r="R636" s="3" t="n"/>
    </row>
    <row r="637" ht="14.25" customHeight="1" s="96">
      <c r="P637" s="3" t="n"/>
      <c r="Q637" s="3" t="n"/>
      <c r="R637" s="3" t="n"/>
    </row>
    <row r="638" ht="14.25" customHeight="1" s="96">
      <c r="P638" s="3" t="n"/>
      <c r="Q638" s="3" t="n"/>
      <c r="R638" s="3" t="n"/>
    </row>
    <row r="639" ht="14.25" customHeight="1" s="96">
      <c r="P639" s="3" t="n"/>
      <c r="Q639" s="3" t="n"/>
      <c r="R639" s="3" t="n"/>
    </row>
    <row r="640" ht="14.25" customHeight="1" s="96">
      <c r="P640" s="3" t="n"/>
      <c r="Q640" s="3" t="n"/>
      <c r="R640" s="3" t="n"/>
    </row>
    <row r="641" ht="14.25" customHeight="1" s="96">
      <c r="P641" s="3" t="n"/>
      <c r="Q641" s="3" t="n"/>
      <c r="R641" s="3" t="n"/>
    </row>
    <row r="642" ht="14.25" customHeight="1" s="96">
      <c r="P642" s="3" t="n"/>
      <c r="Q642" s="3" t="n"/>
      <c r="R642" s="3" t="n"/>
    </row>
    <row r="643" ht="14.25" customHeight="1" s="96">
      <c r="P643" s="3" t="n"/>
      <c r="Q643" s="3" t="n"/>
      <c r="R643" s="3" t="n"/>
    </row>
    <row r="644" ht="14.25" customHeight="1" s="96">
      <c r="P644" s="3" t="n"/>
      <c r="Q644" s="3" t="n"/>
      <c r="R644" s="3" t="n"/>
    </row>
    <row r="645" ht="14.25" customHeight="1" s="96">
      <c r="P645" s="3" t="n"/>
      <c r="Q645" s="3" t="n"/>
      <c r="R645" s="3" t="n"/>
    </row>
    <row r="646" ht="14.25" customHeight="1" s="96">
      <c r="P646" s="3" t="n"/>
      <c r="Q646" s="3" t="n"/>
      <c r="R646" s="3" t="n"/>
    </row>
    <row r="647" ht="14.25" customHeight="1" s="96">
      <c r="P647" s="3" t="n"/>
      <c r="Q647" s="3" t="n"/>
      <c r="R647" s="3" t="n"/>
    </row>
    <row r="648" ht="14.25" customHeight="1" s="96">
      <c r="P648" s="3" t="n"/>
      <c r="Q648" s="3" t="n"/>
      <c r="R648" s="3" t="n"/>
    </row>
    <row r="649" ht="14.25" customHeight="1" s="96">
      <c r="P649" s="3" t="n"/>
      <c r="Q649" s="3" t="n"/>
      <c r="R649" s="3" t="n"/>
    </row>
    <row r="650" ht="14.25" customHeight="1" s="96">
      <c r="P650" s="3" t="n"/>
      <c r="Q650" s="3" t="n"/>
      <c r="R650" s="3" t="n"/>
    </row>
    <row r="651" ht="14.25" customHeight="1" s="96">
      <c r="P651" s="3" t="n"/>
      <c r="Q651" s="3" t="n"/>
      <c r="R651" s="3" t="n"/>
    </row>
    <row r="652" ht="14.25" customHeight="1" s="96">
      <c r="P652" s="3" t="n"/>
      <c r="Q652" s="3" t="n"/>
      <c r="R652" s="3" t="n"/>
    </row>
    <row r="653" ht="14.25" customHeight="1" s="96">
      <c r="P653" s="3" t="n"/>
      <c r="Q653" s="3" t="n"/>
      <c r="R653" s="3" t="n"/>
    </row>
    <row r="654" ht="14.25" customHeight="1" s="96">
      <c r="P654" s="3" t="n"/>
      <c r="Q654" s="3" t="n"/>
      <c r="R654" s="3" t="n"/>
    </row>
    <row r="655" ht="14.25" customHeight="1" s="96">
      <c r="P655" s="3" t="n"/>
      <c r="Q655" s="3" t="n"/>
      <c r="R655" s="3" t="n"/>
    </row>
    <row r="656" ht="14.25" customHeight="1" s="96">
      <c r="P656" s="3" t="n"/>
      <c r="Q656" s="3" t="n"/>
      <c r="R656" s="3" t="n"/>
    </row>
    <row r="657" ht="14.25" customHeight="1" s="96">
      <c r="P657" s="3" t="n"/>
      <c r="Q657" s="3" t="n"/>
      <c r="R657" s="3" t="n"/>
    </row>
    <row r="658" ht="14.25" customHeight="1" s="96">
      <c r="P658" s="3" t="n"/>
      <c r="Q658" s="3" t="n"/>
      <c r="R658" s="3" t="n"/>
    </row>
    <row r="659" ht="14.25" customHeight="1" s="96">
      <c r="P659" s="3" t="n"/>
      <c r="Q659" s="3" t="n"/>
      <c r="R659" s="3" t="n"/>
    </row>
    <row r="660" ht="14.25" customHeight="1" s="96">
      <c r="P660" s="3" t="n"/>
      <c r="Q660" s="3" t="n"/>
      <c r="R660" s="3" t="n"/>
    </row>
    <row r="661" ht="14.25" customHeight="1" s="96">
      <c r="P661" s="3" t="n"/>
      <c r="Q661" s="3" t="n"/>
      <c r="R661" s="3" t="n"/>
    </row>
    <row r="662" ht="14.25" customHeight="1" s="96">
      <c r="P662" s="3" t="n"/>
      <c r="Q662" s="3" t="n"/>
      <c r="R662" s="3" t="n"/>
    </row>
    <row r="663" ht="14.25" customHeight="1" s="96">
      <c r="P663" s="3" t="n"/>
      <c r="Q663" s="3" t="n"/>
      <c r="R663" s="3" t="n"/>
    </row>
    <row r="664" ht="14.25" customHeight="1" s="96">
      <c r="P664" s="3" t="n"/>
      <c r="Q664" s="3" t="n"/>
      <c r="R664" s="3" t="n"/>
    </row>
    <row r="665" ht="14.25" customHeight="1" s="96">
      <c r="P665" s="3" t="n"/>
      <c r="Q665" s="3" t="n"/>
      <c r="R665" s="3" t="n"/>
    </row>
    <row r="666" ht="14.25" customHeight="1" s="96">
      <c r="P666" s="3" t="n"/>
      <c r="Q666" s="3" t="n"/>
      <c r="R666" s="3" t="n"/>
    </row>
    <row r="667" ht="14.25" customHeight="1" s="96">
      <c r="P667" s="3" t="n"/>
      <c r="Q667" s="3" t="n"/>
      <c r="R667" s="3" t="n"/>
    </row>
    <row r="668" ht="14.25" customHeight="1" s="96">
      <c r="P668" s="3" t="n"/>
      <c r="Q668" s="3" t="n"/>
      <c r="R668" s="3" t="n"/>
    </row>
    <row r="669" ht="14.25" customHeight="1" s="96">
      <c r="P669" s="3" t="n"/>
      <c r="Q669" s="3" t="n"/>
      <c r="R669" s="3" t="n"/>
    </row>
    <row r="670" ht="14.25" customHeight="1" s="96">
      <c r="P670" s="3" t="n"/>
      <c r="Q670" s="3" t="n"/>
      <c r="R670" s="3" t="n"/>
    </row>
    <row r="671" ht="14.25" customHeight="1" s="96">
      <c r="P671" s="3" t="n"/>
      <c r="Q671" s="3" t="n"/>
      <c r="R671" s="3" t="n"/>
    </row>
    <row r="672" ht="14.25" customHeight="1" s="96">
      <c r="P672" s="3" t="n"/>
      <c r="Q672" s="3" t="n"/>
      <c r="R672" s="3" t="n"/>
    </row>
    <row r="673" ht="14.25" customHeight="1" s="96">
      <c r="P673" s="3" t="n"/>
      <c r="Q673" s="3" t="n"/>
      <c r="R673" s="3" t="n"/>
    </row>
    <row r="674" ht="14.25" customHeight="1" s="96">
      <c r="P674" s="3" t="n"/>
      <c r="Q674" s="3" t="n"/>
      <c r="R674" s="3" t="n"/>
    </row>
    <row r="675" ht="14.25" customHeight="1" s="96">
      <c r="P675" s="3" t="n"/>
      <c r="Q675" s="3" t="n"/>
      <c r="R675" s="3" t="n"/>
    </row>
    <row r="676" ht="14.25" customHeight="1" s="96">
      <c r="P676" s="3" t="n"/>
      <c r="Q676" s="3" t="n"/>
      <c r="R676" s="3" t="n"/>
    </row>
    <row r="677" ht="14.25" customHeight="1" s="96">
      <c r="P677" s="3" t="n"/>
      <c r="Q677" s="3" t="n"/>
      <c r="R677" s="3" t="n"/>
    </row>
    <row r="678" ht="14.25" customHeight="1" s="96">
      <c r="P678" s="3" t="n"/>
      <c r="Q678" s="3" t="n"/>
      <c r="R678" s="3" t="n"/>
    </row>
    <row r="679" ht="14.25" customHeight="1" s="96">
      <c r="P679" s="3" t="n"/>
      <c r="Q679" s="3" t="n"/>
      <c r="R679" s="3" t="n"/>
    </row>
    <row r="680" ht="14.25" customHeight="1" s="96">
      <c r="P680" s="3" t="n"/>
      <c r="Q680" s="3" t="n"/>
      <c r="R680" s="3" t="n"/>
    </row>
    <row r="681" ht="14.25" customHeight="1" s="96">
      <c r="P681" s="3" t="n"/>
      <c r="Q681" s="3" t="n"/>
      <c r="R681" s="3" t="n"/>
    </row>
    <row r="682" ht="14.25" customHeight="1" s="96">
      <c r="P682" s="3" t="n"/>
      <c r="Q682" s="3" t="n"/>
      <c r="R682" s="3" t="n"/>
    </row>
    <row r="683" ht="14.25" customHeight="1" s="96">
      <c r="P683" s="3" t="n"/>
      <c r="Q683" s="3" t="n"/>
      <c r="R683" s="3" t="n"/>
    </row>
    <row r="684" ht="14.25" customHeight="1" s="96">
      <c r="P684" s="3" t="n"/>
      <c r="Q684" s="3" t="n"/>
      <c r="R684" s="3" t="n"/>
    </row>
    <row r="685" ht="14.25" customHeight="1" s="96">
      <c r="P685" s="3" t="n"/>
      <c r="Q685" s="3" t="n"/>
      <c r="R685" s="3" t="n"/>
    </row>
    <row r="686" ht="14.25" customHeight="1" s="96">
      <c r="P686" s="3" t="n"/>
      <c r="Q686" s="3" t="n"/>
      <c r="R686" s="3" t="n"/>
    </row>
    <row r="687" ht="14.25" customHeight="1" s="96">
      <c r="P687" s="3" t="n"/>
      <c r="Q687" s="3" t="n"/>
      <c r="R687" s="3" t="n"/>
    </row>
    <row r="688" ht="14.25" customHeight="1" s="96">
      <c r="P688" s="3" t="n"/>
      <c r="Q688" s="3" t="n"/>
      <c r="R688" s="3" t="n"/>
    </row>
    <row r="689" ht="14.25" customHeight="1" s="96">
      <c r="P689" s="3" t="n"/>
      <c r="Q689" s="3" t="n"/>
      <c r="R689" s="3" t="n"/>
    </row>
    <row r="690" ht="14.25" customHeight="1" s="96">
      <c r="P690" s="3" t="n"/>
      <c r="Q690" s="3" t="n"/>
      <c r="R690" s="3" t="n"/>
    </row>
    <row r="691" ht="14.25" customHeight="1" s="96">
      <c r="P691" s="3" t="n"/>
      <c r="Q691" s="3" t="n"/>
      <c r="R691" s="3" t="n"/>
    </row>
    <row r="692" ht="14.25" customHeight="1" s="96">
      <c r="P692" s="3" t="n"/>
      <c r="Q692" s="3" t="n"/>
      <c r="R692" s="3" t="n"/>
    </row>
    <row r="693" ht="14.25" customHeight="1" s="96">
      <c r="P693" s="3" t="n"/>
      <c r="Q693" s="3" t="n"/>
      <c r="R693" s="3" t="n"/>
    </row>
    <row r="694" ht="14.25" customHeight="1" s="96">
      <c r="P694" s="3" t="n"/>
      <c r="Q694" s="3" t="n"/>
      <c r="R694" s="3" t="n"/>
    </row>
    <row r="695" ht="14.25" customHeight="1" s="96">
      <c r="P695" s="3" t="n"/>
      <c r="Q695" s="3" t="n"/>
      <c r="R695" s="3" t="n"/>
    </row>
    <row r="696" ht="14.25" customHeight="1" s="96">
      <c r="P696" s="3" t="n"/>
      <c r="Q696" s="3" t="n"/>
      <c r="R696" s="3" t="n"/>
    </row>
    <row r="697" ht="14.25" customHeight="1" s="96">
      <c r="P697" s="3" t="n"/>
      <c r="Q697" s="3" t="n"/>
      <c r="R697" s="3" t="n"/>
    </row>
    <row r="698" ht="14.25" customHeight="1" s="96">
      <c r="P698" s="3" t="n"/>
      <c r="Q698" s="3" t="n"/>
      <c r="R698" s="3" t="n"/>
    </row>
    <row r="699" ht="14.25" customHeight="1" s="96">
      <c r="P699" s="3" t="n"/>
      <c r="Q699" s="3" t="n"/>
      <c r="R699" s="3" t="n"/>
    </row>
    <row r="700" ht="14.25" customHeight="1" s="96">
      <c r="P700" s="3" t="n"/>
      <c r="Q700" s="3" t="n"/>
      <c r="R700" s="3" t="n"/>
    </row>
    <row r="701" ht="14.25" customHeight="1" s="96">
      <c r="P701" s="3" t="n"/>
      <c r="Q701" s="3" t="n"/>
      <c r="R701" s="3" t="n"/>
    </row>
    <row r="702" ht="14.25" customHeight="1" s="96">
      <c r="P702" s="3" t="n"/>
      <c r="Q702" s="3" t="n"/>
      <c r="R702" s="3" t="n"/>
    </row>
    <row r="703" ht="14.25" customHeight="1" s="96">
      <c r="P703" s="3" t="n"/>
      <c r="Q703" s="3" t="n"/>
      <c r="R703" s="3" t="n"/>
    </row>
    <row r="704" ht="14.25" customHeight="1" s="96">
      <c r="P704" s="3" t="n"/>
      <c r="Q704" s="3" t="n"/>
      <c r="R704" s="3" t="n"/>
    </row>
    <row r="705" ht="14.25" customHeight="1" s="96">
      <c r="P705" s="3" t="n"/>
      <c r="Q705" s="3" t="n"/>
      <c r="R705" s="3" t="n"/>
    </row>
    <row r="706" ht="14.25" customHeight="1" s="96">
      <c r="P706" s="3" t="n"/>
      <c r="Q706" s="3" t="n"/>
      <c r="R706" s="3" t="n"/>
    </row>
    <row r="707" ht="14.25" customHeight="1" s="96">
      <c r="P707" s="3" t="n"/>
      <c r="Q707" s="3" t="n"/>
      <c r="R707" s="3" t="n"/>
    </row>
    <row r="708" ht="14.25" customHeight="1" s="96">
      <c r="P708" s="3" t="n"/>
      <c r="Q708" s="3" t="n"/>
      <c r="R708" s="3" t="n"/>
    </row>
    <row r="709" ht="14.25" customHeight="1" s="96">
      <c r="P709" s="3" t="n"/>
      <c r="Q709" s="3" t="n"/>
      <c r="R709" s="3" t="n"/>
    </row>
    <row r="710" ht="14.25" customHeight="1" s="96">
      <c r="P710" s="3" t="n"/>
      <c r="Q710" s="3" t="n"/>
      <c r="R710" s="3" t="n"/>
    </row>
    <row r="711" ht="14.25" customHeight="1" s="96">
      <c r="P711" s="3" t="n"/>
      <c r="Q711" s="3" t="n"/>
      <c r="R711" s="3" t="n"/>
    </row>
    <row r="712" ht="14.25" customHeight="1" s="96">
      <c r="P712" s="3" t="n"/>
      <c r="Q712" s="3" t="n"/>
      <c r="R712" s="3" t="n"/>
    </row>
    <row r="713" ht="14.25" customHeight="1" s="96">
      <c r="P713" s="3" t="n"/>
      <c r="Q713" s="3" t="n"/>
      <c r="R713" s="3" t="n"/>
    </row>
    <row r="714" ht="14.25" customHeight="1" s="96">
      <c r="P714" s="3" t="n"/>
      <c r="Q714" s="3" t="n"/>
      <c r="R714" s="3" t="n"/>
    </row>
    <row r="715" ht="14.25" customHeight="1" s="96">
      <c r="P715" s="3" t="n"/>
      <c r="Q715" s="3" t="n"/>
      <c r="R715" s="3" t="n"/>
    </row>
    <row r="716" ht="14.25" customHeight="1" s="96">
      <c r="P716" s="3" t="n"/>
      <c r="Q716" s="3" t="n"/>
      <c r="R716" s="3" t="n"/>
    </row>
    <row r="717" ht="14.25" customHeight="1" s="96">
      <c r="P717" s="3" t="n"/>
      <c r="Q717" s="3" t="n"/>
      <c r="R717" s="3" t="n"/>
    </row>
    <row r="718" ht="14.25" customHeight="1" s="96">
      <c r="P718" s="3" t="n"/>
      <c r="Q718" s="3" t="n"/>
      <c r="R718" s="3" t="n"/>
    </row>
    <row r="719" ht="14.25" customHeight="1" s="96">
      <c r="P719" s="3" t="n"/>
      <c r="Q719" s="3" t="n"/>
      <c r="R719" s="3" t="n"/>
    </row>
    <row r="720" ht="14.25" customHeight="1" s="96">
      <c r="P720" s="3" t="n"/>
      <c r="Q720" s="3" t="n"/>
      <c r="R720" s="3" t="n"/>
    </row>
    <row r="721" ht="14.25" customHeight="1" s="96">
      <c r="P721" s="3" t="n"/>
      <c r="Q721" s="3" t="n"/>
      <c r="R721" s="3" t="n"/>
    </row>
    <row r="722" ht="14.25" customHeight="1" s="96">
      <c r="P722" s="3" t="n"/>
      <c r="Q722" s="3" t="n"/>
      <c r="R722" s="3" t="n"/>
    </row>
    <row r="723" ht="14.25" customHeight="1" s="96">
      <c r="P723" s="3" t="n"/>
      <c r="Q723" s="3" t="n"/>
      <c r="R723" s="3" t="n"/>
    </row>
    <row r="724" ht="14.25" customHeight="1" s="96">
      <c r="P724" s="3" t="n"/>
      <c r="Q724" s="3" t="n"/>
      <c r="R724" s="3" t="n"/>
    </row>
    <row r="725" ht="14.25" customHeight="1" s="96">
      <c r="P725" s="3" t="n"/>
      <c r="Q725" s="3" t="n"/>
      <c r="R725" s="3" t="n"/>
    </row>
    <row r="726" ht="14.25" customHeight="1" s="96">
      <c r="P726" s="3" t="n"/>
      <c r="Q726" s="3" t="n"/>
      <c r="R726" s="3" t="n"/>
    </row>
    <row r="727" ht="14.25" customHeight="1" s="96">
      <c r="P727" s="3" t="n"/>
      <c r="Q727" s="3" t="n"/>
      <c r="R727" s="3" t="n"/>
    </row>
    <row r="728" ht="14.25" customHeight="1" s="96">
      <c r="P728" s="3" t="n"/>
      <c r="Q728" s="3" t="n"/>
      <c r="R728" s="3" t="n"/>
    </row>
    <row r="729" ht="14.25" customHeight="1" s="96">
      <c r="P729" s="3" t="n"/>
      <c r="Q729" s="3" t="n"/>
      <c r="R729" s="3" t="n"/>
    </row>
    <row r="730" ht="14.25" customHeight="1" s="96">
      <c r="P730" s="3" t="n"/>
      <c r="Q730" s="3" t="n"/>
      <c r="R730" s="3" t="n"/>
    </row>
    <row r="731" ht="14.25" customHeight="1" s="96">
      <c r="P731" s="3" t="n"/>
      <c r="Q731" s="3" t="n"/>
      <c r="R731" s="3" t="n"/>
    </row>
    <row r="732" ht="14.25" customHeight="1" s="96">
      <c r="P732" s="3" t="n"/>
      <c r="Q732" s="3" t="n"/>
      <c r="R732" s="3" t="n"/>
    </row>
    <row r="733" ht="14.25" customHeight="1" s="96">
      <c r="P733" s="3" t="n"/>
      <c r="Q733" s="3" t="n"/>
      <c r="R733" s="3" t="n"/>
    </row>
    <row r="734" ht="14.25" customHeight="1" s="96">
      <c r="P734" s="3" t="n"/>
      <c r="Q734" s="3" t="n"/>
      <c r="R734" s="3" t="n"/>
    </row>
    <row r="735" ht="14.25" customHeight="1" s="96">
      <c r="P735" s="3" t="n"/>
      <c r="Q735" s="3" t="n"/>
      <c r="R735" s="3" t="n"/>
    </row>
    <row r="736" ht="14.25" customHeight="1" s="96">
      <c r="P736" s="3" t="n"/>
      <c r="Q736" s="3" t="n"/>
      <c r="R736" s="3" t="n"/>
    </row>
    <row r="737" ht="14.25" customHeight="1" s="96">
      <c r="P737" s="3" t="n"/>
      <c r="Q737" s="3" t="n"/>
      <c r="R737" s="3" t="n"/>
    </row>
    <row r="738" ht="14.25" customHeight="1" s="96">
      <c r="P738" s="3" t="n"/>
      <c r="Q738" s="3" t="n"/>
      <c r="R738" s="3" t="n"/>
    </row>
    <row r="739" ht="14.25" customHeight="1" s="96">
      <c r="P739" s="3" t="n"/>
      <c r="Q739" s="3" t="n"/>
      <c r="R739" s="3" t="n"/>
    </row>
    <row r="740" ht="14.25" customHeight="1" s="96">
      <c r="P740" s="3" t="n"/>
      <c r="Q740" s="3" t="n"/>
      <c r="R740" s="3" t="n"/>
    </row>
    <row r="741" ht="14.25" customHeight="1" s="96">
      <c r="P741" s="3" t="n"/>
      <c r="Q741" s="3" t="n"/>
      <c r="R741" s="3" t="n"/>
    </row>
    <row r="742" ht="14.25" customHeight="1" s="96">
      <c r="P742" s="3" t="n"/>
      <c r="Q742" s="3" t="n"/>
      <c r="R742" s="3" t="n"/>
    </row>
    <row r="743" ht="14.25" customHeight="1" s="96">
      <c r="P743" s="3" t="n"/>
      <c r="Q743" s="3" t="n"/>
      <c r="R743" s="3" t="n"/>
    </row>
    <row r="744" ht="14.25" customHeight="1" s="96">
      <c r="P744" s="3" t="n"/>
      <c r="Q744" s="3" t="n"/>
      <c r="R744" s="3" t="n"/>
    </row>
    <row r="745" ht="14.25" customHeight="1" s="96">
      <c r="P745" s="3" t="n"/>
      <c r="Q745" s="3" t="n"/>
      <c r="R745" s="3" t="n"/>
    </row>
    <row r="746" ht="14.25" customHeight="1" s="96">
      <c r="P746" s="3" t="n"/>
      <c r="Q746" s="3" t="n"/>
      <c r="R746" s="3" t="n"/>
    </row>
    <row r="747" ht="14.25" customHeight="1" s="96">
      <c r="P747" s="3" t="n"/>
      <c r="Q747" s="3" t="n"/>
      <c r="R747" s="3" t="n"/>
    </row>
    <row r="748" ht="14.25" customHeight="1" s="96">
      <c r="P748" s="3" t="n"/>
      <c r="Q748" s="3" t="n"/>
      <c r="R748" s="3" t="n"/>
    </row>
    <row r="749" ht="14.25" customHeight="1" s="96">
      <c r="P749" s="3" t="n"/>
      <c r="Q749" s="3" t="n"/>
      <c r="R749" s="3" t="n"/>
    </row>
    <row r="750" ht="14.25" customHeight="1" s="96">
      <c r="P750" s="3" t="n"/>
      <c r="Q750" s="3" t="n"/>
      <c r="R750" s="3" t="n"/>
    </row>
    <row r="751" ht="14.25" customHeight="1" s="96">
      <c r="P751" s="3" t="n"/>
      <c r="Q751" s="3" t="n"/>
      <c r="R751" s="3" t="n"/>
    </row>
    <row r="752" ht="14.25" customHeight="1" s="96">
      <c r="P752" s="3" t="n"/>
      <c r="Q752" s="3" t="n"/>
      <c r="R752" s="3" t="n"/>
    </row>
    <row r="753" ht="14.25" customHeight="1" s="96">
      <c r="P753" s="3" t="n"/>
      <c r="Q753" s="3" t="n"/>
      <c r="R753" s="3" t="n"/>
    </row>
    <row r="754" ht="14.25" customHeight="1" s="96">
      <c r="P754" s="3" t="n"/>
      <c r="Q754" s="3" t="n"/>
      <c r="R754" s="3" t="n"/>
    </row>
    <row r="755" ht="14.25" customHeight="1" s="96">
      <c r="P755" s="3" t="n"/>
      <c r="Q755" s="3" t="n"/>
      <c r="R755" s="3" t="n"/>
    </row>
    <row r="756" ht="14.25" customHeight="1" s="96">
      <c r="P756" s="3" t="n"/>
      <c r="Q756" s="3" t="n"/>
      <c r="R756" s="3" t="n"/>
    </row>
    <row r="757" ht="14.25" customHeight="1" s="96">
      <c r="P757" s="3" t="n"/>
      <c r="Q757" s="3" t="n"/>
      <c r="R757" s="3" t="n"/>
    </row>
    <row r="758" ht="14.25" customHeight="1" s="96">
      <c r="P758" s="3" t="n"/>
      <c r="Q758" s="3" t="n"/>
      <c r="R758" s="3" t="n"/>
    </row>
    <row r="759" ht="14.25" customHeight="1" s="96">
      <c r="P759" s="3" t="n"/>
      <c r="Q759" s="3" t="n"/>
      <c r="R759" s="3" t="n"/>
    </row>
    <row r="760" ht="14.25" customHeight="1" s="96">
      <c r="P760" s="3" t="n"/>
      <c r="Q760" s="3" t="n"/>
      <c r="R760" s="3" t="n"/>
    </row>
    <row r="761" ht="14.25" customHeight="1" s="96">
      <c r="P761" s="3" t="n"/>
      <c r="Q761" s="3" t="n"/>
      <c r="R761" s="3" t="n"/>
    </row>
    <row r="762" ht="14.25" customHeight="1" s="96">
      <c r="P762" s="3" t="n"/>
      <c r="Q762" s="3" t="n"/>
      <c r="R762" s="3" t="n"/>
    </row>
    <row r="763" ht="14.25" customHeight="1" s="96">
      <c r="P763" s="3" t="n"/>
      <c r="Q763" s="3" t="n"/>
      <c r="R763" s="3" t="n"/>
    </row>
    <row r="764" ht="14.25" customHeight="1" s="96">
      <c r="P764" s="3" t="n"/>
      <c r="Q764" s="3" t="n"/>
      <c r="R764" s="3" t="n"/>
    </row>
    <row r="765" ht="14.25" customHeight="1" s="96">
      <c r="P765" s="3" t="n"/>
      <c r="Q765" s="3" t="n"/>
      <c r="R765" s="3" t="n"/>
    </row>
    <row r="766" ht="14.25" customHeight="1" s="96">
      <c r="P766" s="3" t="n"/>
      <c r="Q766" s="3" t="n"/>
      <c r="R766" s="3" t="n"/>
    </row>
    <row r="767" ht="14.25" customHeight="1" s="96">
      <c r="P767" s="3" t="n"/>
      <c r="Q767" s="3" t="n"/>
      <c r="R767" s="3" t="n"/>
    </row>
    <row r="768" ht="14.25" customHeight="1" s="96">
      <c r="P768" s="3" t="n"/>
      <c r="Q768" s="3" t="n"/>
      <c r="R768" s="3" t="n"/>
    </row>
    <row r="769" ht="14.25" customHeight="1" s="96">
      <c r="P769" s="3" t="n"/>
      <c r="Q769" s="3" t="n"/>
      <c r="R769" s="3" t="n"/>
    </row>
    <row r="770" ht="14.25" customHeight="1" s="96">
      <c r="P770" s="3" t="n"/>
      <c r="Q770" s="3" t="n"/>
      <c r="R770" s="3" t="n"/>
    </row>
    <row r="771" ht="14.25" customHeight="1" s="96">
      <c r="P771" s="3" t="n"/>
      <c r="Q771" s="3" t="n"/>
      <c r="R771" s="3" t="n"/>
    </row>
    <row r="772" ht="14.25" customHeight="1" s="96">
      <c r="P772" s="3" t="n"/>
      <c r="Q772" s="3" t="n"/>
      <c r="R772" s="3" t="n"/>
    </row>
    <row r="773" ht="14.25" customHeight="1" s="96">
      <c r="P773" s="3" t="n"/>
      <c r="Q773" s="3" t="n"/>
      <c r="R773" s="3" t="n"/>
    </row>
    <row r="774" ht="14.25" customHeight="1" s="96">
      <c r="P774" s="3" t="n"/>
      <c r="Q774" s="3" t="n"/>
      <c r="R774" s="3" t="n"/>
    </row>
    <row r="775" ht="14.25" customHeight="1" s="96">
      <c r="P775" s="3" t="n"/>
      <c r="Q775" s="3" t="n"/>
      <c r="R775" s="3" t="n"/>
    </row>
    <row r="776" ht="14.25" customHeight="1" s="96">
      <c r="P776" s="3" t="n"/>
      <c r="Q776" s="3" t="n"/>
      <c r="R776" s="3" t="n"/>
    </row>
    <row r="777" ht="14.25" customHeight="1" s="96">
      <c r="P777" s="3" t="n"/>
      <c r="Q777" s="3" t="n"/>
      <c r="R777" s="3" t="n"/>
    </row>
    <row r="778" ht="14.25" customHeight="1" s="96">
      <c r="P778" s="3" t="n"/>
      <c r="Q778" s="3" t="n"/>
      <c r="R778" s="3" t="n"/>
    </row>
    <row r="779" ht="14.25" customHeight="1" s="96">
      <c r="P779" s="3" t="n"/>
      <c r="Q779" s="3" t="n"/>
      <c r="R779" s="3" t="n"/>
    </row>
    <row r="780" ht="14.25" customHeight="1" s="96">
      <c r="P780" s="3" t="n"/>
      <c r="Q780" s="3" t="n"/>
      <c r="R780" s="3" t="n"/>
    </row>
    <row r="781" ht="14.25" customHeight="1" s="96">
      <c r="P781" s="3" t="n"/>
      <c r="Q781" s="3" t="n"/>
      <c r="R781" s="3" t="n"/>
    </row>
    <row r="782" ht="14.25" customHeight="1" s="96">
      <c r="P782" s="3" t="n"/>
      <c r="Q782" s="3" t="n"/>
      <c r="R782" s="3" t="n"/>
    </row>
    <row r="783" ht="14.25" customHeight="1" s="96">
      <c r="P783" s="3" t="n"/>
      <c r="Q783" s="3" t="n"/>
      <c r="R783" s="3" t="n"/>
    </row>
    <row r="784" ht="14.25" customHeight="1" s="96">
      <c r="P784" s="3" t="n"/>
      <c r="Q784" s="3" t="n"/>
      <c r="R784" s="3" t="n"/>
    </row>
    <row r="785" ht="14.25" customHeight="1" s="96">
      <c r="P785" s="3" t="n"/>
      <c r="Q785" s="3" t="n"/>
      <c r="R785" s="3" t="n"/>
    </row>
    <row r="786" ht="14.25" customHeight="1" s="96">
      <c r="P786" s="3" t="n"/>
      <c r="Q786" s="3" t="n"/>
      <c r="R786" s="3" t="n"/>
    </row>
    <row r="787" ht="14.25" customHeight="1" s="96">
      <c r="P787" s="3" t="n"/>
      <c r="Q787" s="3" t="n"/>
      <c r="R787" s="3" t="n"/>
    </row>
    <row r="788" ht="14.25" customHeight="1" s="96">
      <c r="P788" s="3" t="n"/>
      <c r="Q788" s="3" t="n"/>
      <c r="R788" s="3" t="n"/>
    </row>
    <row r="789" ht="14.25" customHeight="1" s="96">
      <c r="P789" s="3" t="n"/>
      <c r="Q789" s="3" t="n"/>
      <c r="R789" s="3" t="n"/>
    </row>
    <row r="790" ht="14.25" customHeight="1" s="96">
      <c r="P790" s="3" t="n"/>
      <c r="Q790" s="3" t="n"/>
      <c r="R790" s="3" t="n"/>
    </row>
    <row r="791" ht="14.25" customHeight="1" s="96">
      <c r="P791" s="3" t="n"/>
      <c r="Q791" s="3" t="n"/>
      <c r="R791" s="3" t="n"/>
    </row>
    <row r="792" ht="14.25" customHeight="1" s="96">
      <c r="P792" s="3" t="n"/>
      <c r="Q792" s="3" t="n"/>
      <c r="R792" s="3" t="n"/>
    </row>
    <row r="793" ht="14.25" customHeight="1" s="96">
      <c r="P793" s="3" t="n"/>
      <c r="Q793" s="3" t="n"/>
      <c r="R793" s="3" t="n"/>
    </row>
    <row r="794" ht="14.25" customHeight="1" s="96">
      <c r="P794" s="3" t="n"/>
      <c r="Q794" s="3" t="n"/>
      <c r="R794" s="3" t="n"/>
    </row>
    <row r="795" ht="14.25" customHeight="1" s="96">
      <c r="P795" s="3" t="n"/>
      <c r="Q795" s="3" t="n"/>
      <c r="R795" s="3" t="n"/>
    </row>
    <row r="796" ht="14.25" customHeight="1" s="96">
      <c r="P796" s="3" t="n"/>
      <c r="Q796" s="3" t="n"/>
      <c r="R796" s="3" t="n"/>
    </row>
    <row r="797" ht="14.25" customHeight="1" s="96">
      <c r="P797" s="3" t="n"/>
      <c r="Q797" s="3" t="n"/>
      <c r="R797" s="3" t="n"/>
    </row>
    <row r="798" ht="14.25" customHeight="1" s="96">
      <c r="P798" s="3" t="n"/>
      <c r="Q798" s="3" t="n"/>
      <c r="R798" s="3" t="n"/>
    </row>
    <row r="799" ht="14.25" customHeight="1" s="96">
      <c r="P799" s="3" t="n"/>
      <c r="Q799" s="3" t="n"/>
      <c r="R799" s="3" t="n"/>
    </row>
    <row r="800" ht="14.25" customHeight="1" s="96">
      <c r="P800" s="3" t="n"/>
      <c r="Q800" s="3" t="n"/>
      <c r="R800" s="3" t="n"/>
    </row>
    <row r="801" ht="14.25" customHeight="1" s="96">
      <c r="P801" s="3" t="n"/>
      <c r="Q801" s="3" t="n"/>
      <c r="R801" s="3" t="n"/>
    </row>
    <row r="802" ht="14.25" customHeight="1" s="96">
      <c r="P802" s="3" t="n"/>
      <c r="Q802" s="3" t="n"/>
      <c r="R802" s="3" t="n"/>
    </row>
    <row r="803" ht="14.25" customHeight="1" s="96">
      <c r="P803" s="3" t="n"/>
      <c r="Q803" s="3" t="n"/>
      <c r="R803" s="3" t="n"/>
    </row>
    <row r="804" ht="14.25" customHeight="1" s="96">
      <c r="P804" s="3" t="n"/>
      <c r="Q804" s="3" t="n"/>
      <c r="R804" s="3" t="n"/>
    </row>
    <row r="805" ht="14.25" customHeight="1" s="96">
      <c r="P805" s="3" t="n"/>
      <c r="Q805" s="3" t="n"/>
      <c r="R805" s="3" t="n"/>
    </row>
    <row r="806" ht="14.25" customHeight="1" s="96">
      <c r="P806" s="3" t="n"/>
      <c r="Q806" s="3" t="n"/>
      <c r="R806" s="3" t="n"/>
    </row>
    <row r="807" ht="14.25" customHeight="1" s="96">
      <c r="P807" s="3" t="n"/>
      <c r="Q807" s="3" t="n"/>
      <c r="R807" s="3" t="n"/>
    </row>
    <row r="808" ht="14.25" customHeight="1" s="96">
      <c r="P808" s="3" t="n"/>
      <c r="Q808" s="3" t="n"/>
      <c r="R808" s="3" t="n"/>
    </row>
    <row r="809" ht="14.25" customHeight="1" s="96">
      <c r="P809" s="3" t="n"/>
      <c r="Q809" s="3" t="n"/>
      <c r="R809" s="3" t="n"/>
    </row>
    <row r="810" ht="14.25" customHeight="1" s="96">
      <c r="P810" s="3" t="n"/>
      <c r="Q810" s="3" t="n"/>
      <c r="R810" s="3" t="n"/>
    </row>
    <row r="811" ht="14.25" customHeight="1" s="96">
      <c r="P811" s="3" t="n"/>
      <c r="Q811" s="3" t="n"/>
      <c r="R811" s="3" t="n"/>
    </row>
    <row r="812" ht="14.25" customHeight="1" s="96">
      <c r="P812" s="3" t="n"/>
      <c r="Q812" s="3" t="n"/>
      <c r="R812" s="3" t="n"/>
    </row>
    <row r="813" ht="14.25" customHeight="1" s="96">
      <c r="P813" s="3" t="n"/>
      <c r="Q813" s="3" t="n"/>
      <c r="R813" s="3" t="n"/>
    </row>
    <row r="814" ht="14.25" customHeight="1" s="96">
      <c r="P814" s="3" t="n"/>
      <c r="Q814" s="3" t="n"/>
      <c r="R814" s="3" t="n"/>
    </row>
    <row r="815" ht="14.25" customHeight="1" s="96">
      <c r="P815" s="3" t="n"/>
      <c r="Q815" s="3" t="n"/>
      <c r="R815" s="3" t="n"/>
    </row>
    <row r="816" ht="14.25" customHeight="1" s="96">
      <c r="P816" s="3" t="n"/>
      <c r="Q816" s="3" t="n"/>
      <c r="R816" s="3" t="n"/>
    </row>
    <row r="817" ht="14.25" customHeight="1" s="96">
      <c r="P817" s="3" t="n"/>
      <c r="Q817" s="3" t="n"/>
      <c r="R817" s="3" t="n"/>
    </row>
    <row r="818" ht="14.25" customHeight="1" s="96">
      <c r="P818" s="3" t="n"/>
      <c r="Q818" s="3" t="n"/>
      <c r="R818" s="3" t="n"/>
    </row>
    <row r="819" ht="14.25" customHeight="1" s="96">
      <c r="P819" s="3" t="n"/>
      <c r="Q819" s="3" t="n"/>
      <c r="R819" s="3" t="n"/>
    </row>
    <row r="820" ht="14.25" customHeight="1" s="96">
      <c r="P820" s="3" t="n"/>
      <c r="Q820" s="3" t="n"/>
      <c r="R820" s="3" t="n"/>
    </row>
    <row r="821" ht="14.25" customHeight="1" s="96">
      <c r="P821" s="3" t="n"/>
      <c r="Q821" s="3" t="n"/>
      <c r="R821" s="3" t="n"/>
    </row>
    <row r="822" ht="14.25" customHeight="1" s="96">
      <c r="P822" s="3" t="n"/>
      <c r="Q822" s="3" t="n"/>
      <c r="R822" s="3" t="n"/>
    </row>
    <row r="823" ht="14.25" customHeight="1" s="96">
      <c r="P823" s="3" t="n"/>
      <c r="Q823" s="3" t="n"/>
      <c r="R823" s="3" t="n"/>
    </row>
    <row r="824" ht="14.25" customHeight="1" s="96">
      <c r="P824" s="3" t="n"/>
      <c r="Q824" s="3" t="n"/>
      <c r="R824" s="3" t="n"/>
    </row>
    <row r="825" ht="14.25" customHeight="1" s="96">
      <c r="P825" s="3" t="n"/>
      <c r="Q825" s="3" t="n"/>
      <c r="R825" s="3" t="n"/>
    </row>
    <row r="826" ht="14.25" customHeight="1" s="96">
      <c r="P826" s="3" t="n"/>
      <c r="Q826" s="3" t="n"/>
      <c r="R826" s="3" t="n"/>
    </row>
    <row r="827" ht="14.25" customHeight="1" s="96">
      <c r="P827" s="3" t="n"/>
      <c r="Q827" s="3" t="n"/>
      <c r="R827" s="3" t="n"/>
    </row>
    <row r="828" ht="14.25" customHeight="1" s="96">
      <c r="P828" s="3" t="n"/>
      <c r="Q828" s="3" t="n"/>
      <c r="R828" s="3" t="n"/>
    </row>
    <row r="829" ht="14.25" customHeight="1" s="96">
      <c r="P829" s="3" t="n"/>
      <c r="Q829" s="3" t="n"/>
      <c r="R829" s="3" t="n"/>
    </row>
    <row r="830" ht="14.25" customHeight="1" s="96">
      <c r="P830" s="3" t="n"/>
      <c r="Q830" s="3" t="n"/>
      <c r="R830" s="3" t="n"/>
    </row>
    <row r="831" ht="14.25" customHeight="1" s="96">
      <c r="P831" s="3" t="n"/>
      <c r="Q831" s="3" t="n"/>
      <c r="R831" s="3" t="n"/>
    </row>
    <row r="832" ht="14.25" customHeight="1" s="96">
      <c r="P832" s="3" t="n"/>
      <c r="Q832" s="3" t="n"/>
      <c r="R832" s="3" t="n"/>
    </row>
    <row r="833" ht="14.25" customHeight="1" s="96">
      <c r="P833" s="3" t="n"/>
      <c r="Q833" s="3" t="n"/>
      <c r="R833" s="3" t="n"/>
    </row>
    <row r="834" ht="14.25" customHeight="1" s="96">
      <c r="P834" s="3" t="n"/>
      <c r="Q834" s="3" t="n"/>
      <c r="R834" s="3" t="n"/>
    </row>
    <row r="835" ht="14.25" customHeight="1" s="96">
      <c r="P835" s="3" t="n"/>
      <c r="Q835" s="3" t="n"/>
      <c r="R835" s="3" t="n"/>
    </row>
    <row r="836" ht="14.25" customHeight="1" s="96">
      <c r="P836" s="3" t="n"/>
      <c r="Q836" s="3" t="n"/>
      <c r="R836" s="3" t="n"/>
    </row>
    <row r="837" ht="14.25" customHeight="1" s="96">
      <c r="P837" s="3" t="n"/>
      <c r="Q837" s="3" t="n"/>
      <c r="R837" s="3" t="n"/>
    </row>
    <row r="838" ht="14.25" customHeight="1" s="96">
      <c r="P838" s="3" t="n"/>
      <c r="Q838" s="3" t="n"/>
      <c r="R838" s="3" t="n"/>
    </row>
    <row r="839" ht="14.25" customHeight="1" s="96">
      <c r="P839" s="3" t="n"/>
      <c r="Q839" s="3" t="n"/>
      <c r="R839" s="3" t="n"/>
    </row>
    <row r="840" ht="14.25" customHeight="1" s="96">
      <c r="P840" s="3" t="n"/>
      <c r="Q840" s="3" t="n"/>
      <c r="R840" s="3" t="n"/>
    </row>
    <row r="841" ht="14.25" customHeight="1" s="96">
      <c r="P841" s="3" t="n"/>
      <c r="Q841" s="3" t="n"/>
      <c r="R841" s="3" t="n"/>
    </row>
    <row r="842" ht="14.25" customHeight="1" s="96">
      <c r="P842" s="3" t="n"/>
      <c r="Q842" s="3" t="n"/>
      <c r="R842" s="3" t="n"/>
    </row>
  </sheetData>
  <mergeCells count="12">
    <mergeCell ref="P5:P6"/>
    <mergeCell ref="R5:R6"/>
    <mergeCell ref="I4:J4"/>
    <mergeCell ref="Q5:Q6"/>
    <mergeCell ref="A7:A26"/>
    <mergeCell ref="A87:A106"/>
    <mergeCell ref="A47:A66"/>
    <mergeCell ref="I5:M5"/>
    <mergeCell ref="K4:L4"/>
    <mergeCell ref="A27:A46"/>
    <mergeCell ref="A67:A86"/>
    <mergeCell ref="I2:R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9" customWidth="1" style="96" min="1" max="1"/>
    <col width="19" customWidth="1" style="96" min="2" max="2"/>
    <col width="19" customWidth="1" style="96" min="3" max="3"/>
    <col width="19" customWidth="1" style="96" min="4" max="4"/>
    <col width="19" customWidth="1" style="96" min="5" max="5"/>
  </cols>
  <sheetData>
    <row r="1">
      <c r="A1" s="123" t="inlineStr">
        <is>
          <t>SLP Iris - Setosa (0) vs Versicolor (1)</t>
        </is>
      </c>
    </row>
    <row r="2">
      <c r="A2" t="inlineStr">
        <is>
          <t>Learning rate = 0.1   |   Epoch = 5   |   Bobot awal = 0.5</t>
        </is>
      </c>
    </row>
    <row r="3">
      <c r="A3" t="inlineStr">
        <is>
          <t>Training = 80 sampel  |  Validation = 20 sampel</t>
        </is>
      </c>
    </row>
    <row r="5">
      <c r="A5" s="109" t="inlineStr">
        <is>
          <t>Epoch</t>
        </is>
      </c>
      <c r="B5" s="109" t="inlineStr">
        <is>
          <t>Train Accuracy</t>
        </is>
      </c>
      <c r="C5" s="109" t="inlineStr">
        <is>
          <t>Validation Accuracy</t>
        </is>
      </c>
      <c r="D5" s="109" t="inlineStr">
        <is>
          <t>Train Loss</t>
        </is>
      </c>
      <c r="E5" s="109" t="inlineStr">
        <is>
          <t>Validation Loss</t>
        </is>
      </c>
    </row>
    <row r="6">
      <c r="A6" t="n">
        <v>1</v>
      </c>
      <c r="B6" s="112">
        <f>'SLP-Training'!AB5</f>
        <v/>
      </c>
      <c r="C6" s="112">
        <f>'SLP-Validation'!AB5</f>
        <v/>
      </c>
      <c r="D6" s="111">
        <f>'SLP-Training'!AA5</f>
        <v/>
      </c>
      <c r="E6" s="111">
        <f>'SLP-Validation'!AA5</f>
        <v/>
      </c>
    </row>
    <row r="7">
      <c r="A7" t="n">
        <v>2</v>
      </c>
      <c r="B7" s="112">
        <f>'SLP-Training'!AB6</f>
        <v/>
      </c>
      <c r="C7" s="112">
        <f>'SLP-Validation'!AB6</f>
        <v/>
      </c>
      <c r="D7" s="111">
        <f>'SLP-Training'!AA6</f>
        <v/>
      </c>
      <c r="E7" s="111">
        <f>'SLP-Validation'!AA6</f>
        <v/>
      </c>
    </row>
    <row r="8">
      <c r="A8" t="n">
        <v>3</v>
      </c>
      <c r="B8" s="112">
        <f>'SLP-Training'!AB7</f>
        <v/>
      </c>
      <c r="C8" s="112">
        <f>'SLP-Validation'!AB7</f>
        <v/>
      </c>
      <c r="D8" s="111">
        <f>'SLP-Training'!AA7</f>
        <v/>
      </c>
      <c r="E8" s="111">
        <f>'SLP-Validation'!AA7</f>
        <v/>
      </c>
    </row>
    <row r="9">
      <c r="A9" t="n">
        <v>4</v>
      </c>
      <c r="B9" s="112">
        <f>'SLP-Training'!AB8</f>
        <v/>
      </c>
      <c r="C9" s="112">
        <f>'SLP-Validation'!AB8</f>
        <v/>
      </c>
      <c r="D9" s="111">
        <f>'SLP-Training'!AA8</f>
        <v/>
      </c>
      <c r="E9" s="111">
        <f>'SLP-Validation'!AA8</f>
        <v/>
      </c>
    </row>
    <row r="10">
      <c r="A10" t="n">
        <v>5</v>
      </c>
      <c r="B10" s="112">
        <f>'SLP-Training'!AB9</f>
        <v/>
      </c>
      <c r="C10" s="112">
        <f>'SLP-Validation'!AB9</f>
        <v/>
      </c>
      <c r="D10" s="111">
        <f>'SLP-Training'!AA9</f>
        <v/>
      </c>
      <c r="E10" s="111">
        <f>'SLP-Validation'!AA9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Gana Pradipa</dc:creator>
  <dcterms:created xmlns:dcterms="http://purl.org/dc/terms/" xmlns:xsi="http://www.w3.org/2001/XMLSchema-instance" xsi:type="dcterms:W3CDTF">2018-05-15T17:14:02Z</dcterms:created>
  <dcterms:modified xmlns:dcterms="http://purl.org/dc/terms/" xmlns:xsi="http://www.w3.org/2001/XMLSchema-instance" xsi:type="dcterms:W3CDTF">2026-09-18T00:35:35Z</dcterms:modified>
</cp:coreProperties>
</file>